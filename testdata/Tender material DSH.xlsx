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a3825e48eafdf7/"/>
    </mc:Choice>
  </mc:AlternateContent>
  <xr:revisionPtr revIDLastSave="6" documentId="8_{022160E6-A19B-46A1-96A4-9BEBE2642190}" xr6:coauthVersionLast="47" xr6:coauthVersionMax="47" xr10:uidLastSave="{D0CA7F6D-BAC1-481A-ABD9-06FD2C9ADAD3}"/>
  <bookViews>
    <workbookView xWindow="19090" yWindow="-110" windowWidth="38620" windowHeight="21100" xr2:uid="{00000000-000D-0000-FFFF-FFFF00000000}"/>
  </bookViews>
  <sheets>
    <sheet name="Tender data" sheetId="2" r:id="rId1"/>
  </sheets>
  <definedNames>
    <definedName name="_xlnm._FilterDatabase" localSheetId="0" hidden="1">'Tender data'!$A$1:$O$74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2" l="1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38" i="2"/>
  <c r="I39" i="2"/>
  <c r="I4" i="2"/>
  <c r="I41" i="2" l="1"/>
  <c r="I40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" i="2"/>
  <c r="I2" i="2"/>
  <c r="G72" i="2"/>
  <c r="G55" i="2" l="1"/>
  <c r="G2" i="2"/>
  <c r="G56" i="2"/>
  <c r="G3" i="2"/>
  <c r="G57" i="2"/>
  <c r="G4" i="2"/>
  <c r="G5" i="2"/>
  <c r="G6" i="2"/>
  <c r="G7" i="2"/>
  <c r="G8" i="2"/>
  <c r="G9" i="2"/>
  <c r="G10" i="2"/>
  <c r="G58" i="2"/>
  <c r="G11" i="2"/>
  <c r="G12" i="2"/>
  <c r="G13" i="2"/>
  <c r="G14" i="2"/>
  <c r="G15" i="2"/>
  <c r="G16" i="2"/>
  <c r="G17" i="2"/>
  <c r="G59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60" i="2"/>
  <c r="G33" i="2"/>
  <c r="G34" i="2"/>
  <c r="G35" i="2"/>
  <c r="G61" i="2"/>
  <c r="G62" i="2"/>
  <c r="G36" i="2"/>
  <c r="G37" i="2"/>
  <c r="G38" i="2"/>
  <c r="G39" i="2"/>
  <c r="G40" i="2"/>
  <c r="G41" i="2"/>
  <c r="G42" i="2"/>
  <c r="G43" i="2"/>
  <c r="G63" i="2"/>
  <c r="G64" i="2"/>
  <c r="G65" i="2"/>
  <c r="G44" i="2"/>
  <c r="G45" i="2"/>
  <c r="G46" i="2"/>
  <c r="G47" i="2"/>
  <c r="G48" i="2"/>
  <c r="G49" i="2"/>
  <c r="G66" i="2"/>
  <c r="G50" i="2"/>
  <c r="G51" i="2"/>
  <c r="G52" i="2"/>
  <c r="G67" i="2"/>
  <c r="G68" i="2"/>
  <c r="G69" i="2"/>
  <c r="G70" i="2"/>
  <c r="G71" i="2"/>
  <c r="G53" i="2"/>
  <c r="G73" i="2"/>
  <c r="G74" i="2"/>
  <c r="G54" i="2"/>
</calcChain>
</file>

<file path=xl/sharedStrings.xml><?xml version="1.0" encoding="utf-8"?>
<sst xmlns="http://schemas.openxmlformats.org/spreadsheetml/2006/main" count="645" uniqueCount="210">
  <si>
    <t>Supplier name</t>
  </si>
  <si>
    <t>Item no</t>
  </si>
  <si>
    <t>Item name</t>
  </si>
  <si>
    <t>FLEXOPRINT AS</t>
  </si>
  <si>
    <t>540121</t>
  </si>
  <si>
    <t>ETIKETT 90488 MINUTT FILET STEKTSKIVET CLASSIC 74,2X219 MATT</t>
  </si>
  <si>
    <t>540122</t>
  </si>
  <si>
    <t>ETIKETT 90489 MINUTT STEKTSKIVET S.TOMAT 74,2X219 MATT</t>
  </si>
  <si>
    <t>540119</t>
  </si>
  <si>
    <t>ETIKETT 90711 FIRSTPRICE KYLLINGFILET 14000G 100X169 STD</t>
  </si>
  <si>
    <t>540329</t>
  </si>
  <si>
    <t>ETIKETT 90913 DSH STEKT OG SPISEKLAR SANDWICHFILET KREOLSK</t>
  </si>
  <si>
    <t>540536</t>
  </si>
  <si>
    <t>ETIKETT 91029 KYLLINGFILET BASIC FERSK 90% 1400G</t>
  </si>
  <si>
    <t>540410</t>
  </si>
  <si>
    <t>ETIKETT 91143 DSH KYLLING LÅRFILET SPISEKLAR BBQ 200G</t>
  </si>
  <si>
    <t>540452</t>
  </si>
  <si>
    <t>ETIKETT 91188 FOLKETS STICKS LÅRFILET PAPRIKA &amp; URTER 440G</t>
  </si>
  <si>
    <t>540498</t>
  </si>
  <si>
    <t>ETIKETT 91259 COOP LÅRFILET I STRIMLER 500G</t>
  </si>
  <si>
    <t>540500</t>
  </si>
  <si>
    <t>ETIKETT 91260 COOP KYLLINGFILET I BITER 600G</t>
  </si>
  <si>
    <t>540484</t>
  </si>
  <si>
    <t>ETIKETT 91272 FOLKETS KYLLING GRILLFILET KOREAN BBQ 440G</t>
  </si>
  <si>
    <t>540504</t>
  </si>
  <si>
    <t>ETIKETT 91283 COOP KJØTTDEIG AV KYLLING 400G 90X219 STD</t>
  </si>
  <si>
    <t>540568</t>
  </si>
  <si>
    <t>ETIKETT 91401 COOP KYLLINGFILET 1000G 98X289 STD</t>
  </si>
  <si>
    <t>540579</t>
  </si>
  <si>
    <t>ETIKETT 91442 FOLKETS KYLLING GRILLFILET BBQ  440G 98X289</t>
  </si>
  <si>
    <t>540585</t>
  </si>
  <si>
    <t>ETIKETT 91459 DSH KYLLING SALATKJØTT KRYDRET 200G</t>
  </si>
  <si>
    <t>540621</t>
  </si>
  <si>
    <t>ETIKETT 91506 FOLKETS KYLLGRILLFILET SPICY TROPICAL BBQ 440G</t>
  </si>
  <si>
    <t>540618</t>
  </si>
  <si>
    <t>ETIKETT 91507 FOLKETS KYLLFILET SPYD TROPICAL BBQ 180G</t>
  </si>
  <si>
    <t>540612</t>
  </si>
  <si>
    <t>ETIKETT 91508 FOLKETS KYLLING GRILLFILET HULI HULI 220G</t>
  </si>
  <si>
    <t>540610</t>
  </si>
  <si>
    <t>ETIKETT 91509 FOLKETS KYLLING GRILLFILET TROPICAL BBQ 220G</t>
  </si>
  <si>
    <t>540622</t>
  </si>
  <si>
    <t>ETIKETT 91510 COOP GP KYLLINGSPYD AV LÅRFILET PAPRIKA 440G</t>
  </si>
  <si>
    <t>540623</t>
  </si>
  <si>
    <t>ETIKETT 91511 COOP GP FILET SKIVET URTER &amp; SITRON 450G</t>
  </si>
  <si>
    <t>540158</t>
  </si>
  <si>
    <t>ETIKETT OTRYCKT THERMO U/PERF, T-PAK 150X212</t>
  </si>
  <si>
    <t>ETK 90929 BAMA SALATBAR 80X50</t>
  </si>
  <si>
    <t>540418</t>
  </si>
  <si>
    <t>ETK 91131 COOP LÅRFILET 98X289</t>
  </si>
  <si>
    <t>540419</t>
  </si>
  <si>
    <t>ETK 91132 COOP LÅR RÅ 98X289</t>
  </si>
  <si>
    <t>540483</t>
  </si>
  <si>
    <t>ETK 91270 FOLKETS HVT&amp;ING 180G</t>
  </si>
  <si>
    <t>540338</t>
  </si>
  <si>
    <t>ETK 91276 COOP F I BITER 190G</t>
  </si>
  <si>
    <t>540386</t>
  </si>
  <si>
    <t>ETK 91281 COOP F I BITER 400G</t>
  </si>
  <si>
    <t>540540</t>
  </si>
  <si>
    <t>ETK 91359 FP KJØTTDEIG 600G</t>
  </si>
  <si>
    <t>540537</t>
  </si>
  <si>
    <t>ETK 91377 VF BRYST SKINN 1400G</t>
  </si>
  <si>
    <t>540538</t>
  </si>
  <si>
    <t>ETK 91378 VF LÅR BASIC 1400G</t>
  </si>
  <si>
    <t>540424</t>
  </si>
  <si>
    <t>ETK 91398 COOP HEL VV 110X80</t>
  </si>
  <si>
    <t>540560</t>
  </si>
  <si>
    <t>ETK 91399 COOP FILET  90X219</t>
  </si>
  <si>
    <t>540561</t>
  </si>
  <si>
    <t>ETK 91400 COOP FIL 690G 98X289</t>
  </si>
  <si>
    <t>540116</t>
  </si>
  <si>
    <t>ETK 91402 FILET 750G 80X289 /M</t>
  </si>
  <si>
    <t>540562</t>
  </si>
  <si>
    <t>ETK 91403 COOP SKIVET 98X289</t>
  </si>
  <si>
    <t>540577</t>
  </si>
  <si>
    <t>ETK 91439 FP LÅRFILET 900G</t>
  </si>
  <si>
    <t>540580</t>
  </si>
  <si>
    <t>ETK 91443 FOLKETS SPYD CHI&amp;LIM</t>
  </si>
  <si>
    <t>540611</t>
  </si>
  <si>
    <t>ETK 91449 SMOKEY BBQ 200G</t>
  </si>
  <si>
    <t>540586</t>
  </si>
  <si>
    <t>ETK 91454 XTRA KJØTTDEIG 600G</t>
  </si>
  <si>
    <t>540595</t>
  </si>
  <si>
    <t>ETK 91498 VF FILET 550G</t>
  </si>
  <si>
    <t>540594</t>
  </si>
  <si>
    <t>ETK 91499 VF FILET 430G</t>
  </si>
  <si>
    <t>540648</t>
  </si>
  <si>
    <t>ETK 91512 COOP GRILL HOTW 700G</t>
  </si>
  <si>
    <t>540614</t>
  </si>
  <si>
    <t>ETK 91513 FILET SPISEKLR PROV</t>
  </si>
  <si>
    <t>540619</t>
  </si>
  <si>
    <t>ETK 91524 VF LÅRFILET M/S 430G</t>
  </si>
  <si>
    <t>540646</t>
  </si>
  <si>
    <t>ETK 91543 XTRA KYLLFILET 1,4KG</t>
  </si>
  <si>
    <t>540636</t>
  </si>
  <si>
    <t>ETK 91551 DSH LÅRFILET 1KG</t>
  </si>
  <si>
    <t>540640</t>
  </si>
  <si>
    <t>ETK 91557 DSH HELK SV VV 1800G</t>
  </si>
  <si>
    <t>540641</t>
  </si>
  <si>
    <t>ETK 91558 DSH LÅR H&amp;H SV 250G</t>
  </si>
  <si>
    <t>540642</t>
  </si>
  <si>
    <t>ETK 91559 DSH BRYST A&amp;ROS 240G</t>
  </si>
  <si>
    <t>540643</t>
  </si>
  <si>
    <t>ETK 91560 DSH LÅR 2PK SV 500G</t>
  </si>
  <si>
    <t>540644</t>
  </si>
  <si>
    <t>ETK 91561 DSH BRYST M/S 240G</t>
  </si>
  <si>
    <t>540637</t>
  </si>
  <si>
    <t>ETK 91562 DSH SK LP CHILI 700</t>
  </si>
  <si>
    <t>540638</t>
  </si>
  <si>
    <t>ETK 91563 DSH SK LP PEPPER 700</t>
  </si>
  <si>
    <t>540645</t>
  </si>
  <si>
    <t>ETK 91564 DSH GRILLVINGER 700G</t>
  </si>
  <si>
    <t>540650</t>
  </si>
  <si>
    <t>ETK 91574 VF LOLLIPOP RÅ 750G</t>
  </si>
  <si>
    <t>540651</t>
  </si>
  <si>
    <t>ETK 91575 VF LOLLIPOP RÅ 550G</t>
  </si>
  <si>
    <t>540654</t>
  </si>
  <si>
    <t>ETK 91580 FP FILET 1,5KG</t>
  </si>
  <si>
    <t>540662</t>
  </si>
  <si>
    <t>ETK 91594 FOLKETS GR.FILET NAT</t>
  </si>
  <si>
    <t>540663</t>
  </si>
  <si>
    <t>ETK 91604 XTRA LÅRFILET 900G</t>
  </si>
  <si>
    <t>540179</t>
  </si>
  <si>
    <t>ETK 349751 VF 78X210 Ø76 MM</t>
  </si>
  <si>
    <t>540327</t>
  </si>
  <si>
    <t>540390</t>
  </si>
  <si>
    <t>ETK BACK GK SKINPACK</t>
  </si>
  <si>
    <t>540513</t>
  </si>
  <si>
    <t>ETK CAT3 BI-PRODUKT 100X100</t>
  </si>
  <si>
    <t>540554</t>
  </si>
  <si>
    <t>ETK HVIT, 60X150MM</t>
  </si>
  <si>
    <t>540604</t>
  </si>
  <si>
    <t>ETK ICA FÄRDIG SKIVAD BBQ 200G</t>
  </si>
  <si>
    <t>540605</t>
  </si>
  <si>
    <t>ETK ICA FÄRDIG TÄRNAD KRY 200G</t>
  </si>
  <si>
    <t>ETK KF STEK&amp;SKIV CAESAR 200G</t>
  </si>
  <si>
    <t>540632</t>
  </si>
  <si>
    <t>ETK KF STEK&amp;SKIV CLASSIC 200G</t>
  </si>
  <si>
    <t>540634</t>
  </si>
  <si>
    <t>ETK KF STEK&amp;TÄRNAD BBQ 200G</t>
  </si>
  <si>
    <t>540633</t>
  </si>
  <si>
    <t>ETK KF STEK&amp;TÄRNAD TACO 200G</t>
  </si>
  <si>
    <t>540635</t>
  </si>
  <si>
    <t>540157</t>
  </si>
  <si>
    <t>ETK NY DPAK FRYS 52,5X140MM</t>
  </si>
  <si>
    <t>540613</t>
  </si>
  <si>
    <t>ETK SRS KF 60X165MM </t>
  </si>
  <si>
    <t>ETK VF PALL 150X212 6000STK</t>
  </si>
  <si>
    <t>74,2X219</t>
  </si>
  <si>
    <t>100X169</t>
  </si>
  <si>
    <t>80X50</t>
  </si>
  <si>
    <t>98X289</t>
  </si>
  <si>
    <t>90X219</t>
  </si>
  <si>
    <t>110X80</t>
  </si>
  <si>
    <t>Quantity</t>
  </si>
  <si>
    <t>Spend (NOK)</t>
  </si>
  <si>
    <t>DSH Site</t>
  </si>
  <si>
    <t>Jæren</t>
  </si>
  <si>
    <t>Stokke</t>
  </si>
  <si>
    <t>Price per 1,000</t>
  </si>
  <si>
    <t>80X289</t>
  </si>
  <si>
    <t>100X100</t>
  </si>
  <si>
    <t>60X150</t>
  </si>
  <si>
    <t>60X165</t>
  </si>
  <si>
    <t>78X210</t>
  </si>
  <si>
    <t>52.5X140</t>
  </si>
  <si>
    <t>98x289</t>
  </si>
  <si>
    <t>100X130</t>
  </si>
  <si>
    <t>90x219</t>
  </si>
  <si>
    <t>90x253</t>
  </si>
  <si>
    <t>90x132</t>
  </si>
  <si>
    <t>100x130</t>
  </si>
  <si>
    <t>100x169</t>
  </si>
  <si>
    <t>80x300</t>
  </si>
  <si>
    <t>80x110</t>
  </si>
  <si>
    <t>240x123</t>
  </si>
  <si>
    <t>Winding direction</t>
  </si>
  <si>
    <t>OUT Left side first</t>
  </si>
  <si>
    <t>OUT Bottom first</t>
  </si>
  <si>
    <t>Material</t>
  </si>
  <si>
    <t>Thermo top</t>
  </si>
  <si>
    <t>PP top white</t>
  </si>
  <si>
    <t>No. of colors</t>
  </si>
  <si>
    <t>Out Head first</t>
  </si>
  <si>
    <t>150X212,5</t>
  </si>
  <si>
    <t>Thermo eco</t>
  </si>
  <si>
    <t>Price (DKK)</t>
  </si>
  <si>
    <t>80X263</t>
  </si>
  <si>
    <t>Outside - bottom first</t>
  </si>
  <si>
    <t>Reel diameter / pcs per roll</t>
  </si>
  <si>
    <t>Out HEAD first</t>
  </si>
  <si>
    <t>4 to 6</t>
  </si>
  <si>
    <t>Comment</t>
  </si>
  <si>
    <t>OUT Head first</t>
  </si>
  <si>
    <t>DONE</t>
  </si>
  <si>
    <t>White top coated paper</t>
  </si>
  <si>
    <t>Synthermal</t>
  </si>
  <si>
    <t>58X99</t>
  </si>
  <si>
    <t>INN Head first</t>
  </si>
  <si>
    <t>PP top transparent</t>
  </si>
  <si>
    <t>Thermo eco - wash of adhesive</t>
  </si>
  <si>
    <t>Thermo eco, deepfreeze</t>
  </si>
  <si>
    <t>Theoretical spend (NOK)</t>
  </si>
  <si>
    <t>Label size</t>
  </si>
  <si>
    <t>5 to 7</t>
  </si>
  <si>
    <t>7 including spot</t>
  </si>
  <si>
    <t>Synthermal white</t>
  </si>
  <si>
    <t>OUT Right first</t>
  </si>
  <si>
    <t>5 to 6</t>
  </si>
  <si>
    <t>Optimum</t>
  </si>
  <si>
    <t>Labelco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</si>
</sst>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r&quot;"/>
    <numFmt numFmtId="165" formatCode="#,##0.00\ &quot;kr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7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1421-FD92-4544-9750-D18562123439}">
  <dimension ref="A1:O166"/>
  <sheetViews>
    <sheetView tabSelected="1" zoomScale="90" zoomScaleNormal="90" workbookViewId="0">
      <selection activeCell="B19" sqref="B19"/>
    </sheetView>
  </sheetViews>
  <sheetFormatPr defaultRowHeight="14.5" x14ac:dyDescent="0.35"/>
  <cols>
    <col min="1" max="1" width="15.7265625" style="3" customWidth="1"/>
    <col min="2" max="2" width="61.1796875" bestFit="1" customWidth="1"/>
    <col min="3" max="3" width="17.7265625" style="3" bestFit="1" customWidth="1"/>
    <col min="4" max="4" width="38.453125" style="3" bestFit="1" customWidth="1"/>
    <col min="5" max="5" width="15.453125" style="7" bestFit="1" customWidth="1"/>
    <col min="6" max="6" width="32.26953125" style="8" bestFit="1" customWidth="1"/>
    <col min="7" max="7" width="30" style="3" bestFit="1" customWidth="1"/>
    <col min="8" max="8" width="28.81640625" style="9" bestFit="1" customWidth="1"/>
    <col min="9" max="9" width="15.7265625" style="8" bestFit="1" customWidth="1"/>
    <col min="10" max="10" width="18" style="3" bestFit="1" customWidth="1"/>
    <col min="11" max="11" width="23.26953125" style="3" bestFit="1" customWidth="1"/>
    <col min="12" max="12" width="21.7265625" style="3" bestFit="1" customWidth="1"/>
    <col min="13" max="13" width="27.81640625" style="7" bestFit="1" customWidth="1"/>
    <col min="14" max="14" width="18.453125" style="3" customWidth="1"/>
    <col min="15" max="15" width="25.54296875" bestFit="1" customWidth="1"/>
  </cols>
  <sheetData>
    <row r="1" spans="1:15" s="1" customFormat="1" x14ac:dyDescent="0.35">
      <c r="A1" s="2" t="s">
        <v>1</v>
      </c>
      <c r="B1" s="1" t="s">
        <v>2</v>
      </c>
      <c r="C1" s="2" t="s">
        <v>0</v>
      </c>
      <c r="D1" s="2" t="s">
        <v>155</v>
      </c>
      <c r="E1" s="4" t="s">
        <v>153</v>
      </c>
      <c r="F1" s="5" t="s">
        <v>154</v>
      </c>
      <c r="G1" s="2" t="s">
        <v>158</v>
      </c>
      <c r="H1" s="6" t="s">
        <v>185</v>
      </c>
      <c r="I1" s="5" t="s">
        <v>201</v>
      </c>
      <c r="J1" s="2" t="s">
        <v>202</v>
      </c>
      <c r="K1" s="2" t="s">
        <v>175</v>
      </c>
      <c r="L1" s="2" t="s">
        <v>178</v>
      </c>
      <c r="M1" s="4" t="s">
        <v>188</v>
      </c>
      <c r="N1" s="2" t="s">
        <v>181</v>
      </c>
      <c r="O1" s="1" t="s">
        <v>191</v>
      </c>
    </row>
    <row r="2" spans="1:15" x14ac:dyDescent="0.35">
      <c r="A2" s="3" t="s">
        <v>8</v>
      </c>
      <c r="B2" t="s">
        <v>9</v>
      </c>
      <c r="C2" s="3" t="s">
        <v>3</v>
      </c>
      <c r="D2" s="3" t="s">
        <v>156</v>
      </c>
      <c r="E2" s="7">
        <v>1533600</v>
      </c>
      <c r="F2" s="8">
        <v>282468.36397800001</v>
      </c>
      <c r="G2" s="9">
        <f t="shared" ref="G2:G31" si="0">F2/E2*1000</f>
        <v>184.18646581768388</v>
      </c>
      <c r="H2" s="9">
        <v>117.75</v>
      </c>
      <c r="I2" s="8">
        <f>((H2*E2/1000)*1.08)*1.49</f>
        <v>290591.58888</v>
      </c>
      <c r="J2" s="3" t="s">
        <v>148</v>
      </c>
      <c r="K2" s="3" t="s">
        <v>177</v>
      </c>
      <c r="L2" s="3" t="s">
        <v>180</v>
      </c>
      <c r="M2" s="7">
        <v>3500</v>
      </c>
      <c r="N2" s="3" t="s">
        <v>207</v>
      </c>
      <c r="O2" t="s">
        <v>193</v>
      </c>
    </row>
    <row r="3" spans="1:15" x14ac:dyDescent="0.35">
      <c r="A3" s="3" t="s">
        <v>12</v>
      </c>
      <c r="B3" t="s">
        <v>13</v>
      </c>
      <c r="C3" s="3" t="s">
        <v>3</v>
      </c>
      <c r="D3" s="3" t="s">
        <v>156</v>
      </c>
      <c r="E3" s="7">
        <v>15000</v>
      </c>
      <c r="F3" s="8">
        <v>4691.3317605000002</v>
      </c>
      <c r="G3" s="9">
        <f t="shared" si="0"/>
        <v>312.75545069999998</v>
      </c>
      <c r="H3" s="9">
        <v>197.68</v>
      </c>
      <c r="I3" s="8">
        <f>((H3*E3/1000)*1.08)*1.49</f>
        <v>4771.5998399999999</v>
      </c>
      <c r="J3" s="3" t="s">
        <v>166</v>
      </c>
      <c r="K3" s="3" t="s">
        <v>192</v>
      </c>
      <c r="L3" s="3" t="s">
        <v>179</v>
      </c>
      <c r="M3" s="7">
        <v>1000</v>
      </c>
      <c r="N3" s="3">
        <v>4</v>
      </c>
      <c r="O3" t="s">
        <v>193</v>
      </c>
    </row>
    <row r="4" spans="1:15" x14ac:dyDescent="0.35">
      <c r="A4" s="3" t="s">
        <v>16</v>
      </c>
      <c r="B4" t="s">
        <v>17</v>
      </c>
      <c r="C4" s="3" t="s">
        <v>3</v>
      </c>
      <c r="D4" s="3" t="s">
        <v>156</v>
      </c>
      <c r="E4" s="7">
        <v>249600</v>
      </c>
      <c r="F4" s="8">
        <v>47551.484061199997</v>
      </c>
      <c r="G4" s="9">
        <f t="shared" si="0"/>
        <v>190.51075345032052</v>
      </c>
      <c r="H4" s="9">
        <v>125.97</v>
      </c>
      <c r="I4" s="8">
        <f t="shared" ref="I4:I10" si="1">((H4*E4/1000)*1.08)*1.49</f>
        <v>50596.646630399999</v>
      </c>
      <c r="J4" s="3" t="s">
        <v>167</v>
      </c>
      <c r="K4" s="3" t="s">
        <v>176</v>
      </c>
      <c r="L4" s="3" t="s">
        <v>180</v>
      </c>
      <c r="M4" s="7">
        <v>2500</v>
      </c>
      <c r="N4" s="3" t="s">
        <v>190</v>
      </c>
      <c r="O4" t="s">
        <v>193</v>
      </c>
    </row>
    <row r="5" spans="1:15" x14ac:dyDescent="0.35">
      <c r="A5" s="3" t="s">
        <v>18</v>
      </c>
      <c r="B5" t="s">
        <v>19</v>
      </c>
      <c r="C5" s="3" t="s">
        <v>3</v>
      </c>
      <c r="D5" s="3" t="s">
        <v>156</v>
      </c>
      <c r="E5" s="7">
        <v>825200</v>
      </c>
      <c r="F5" s="8">
        <v>184512.77377220002</v>
      </c>
      <c r="G5" s="9">
        <f t="shared" si="0"/>
        <v>223.59764150775572</v>
      </c>
      <c r="H5" s="9">
        <v>125.97</v>
      </c>
      <c r="I5" s="8">
        <f t="shared" si="1"/>
        <v>167277.0544848</v>
      </c>
      <c r="J5" s="3" t="s">
        <v>167</v>
      </c>
      <c r="K5" s="3" t="s">
        <v>177</v>
      </c>
      <c r="L5" s="3" t="s">
        <v>180</v>
      </c>
      <c r="M5" s="7">
        <v>2500</v>
      </c>
      <c r="N5" s="3" t="s">
        <v>190</v>
      </c>
      <c r="O5" t="s">
        <v>193</v>
      </c>
    </row>
    <row r="6" spans="1:15" x14ac:dyDescent="0.35">
      <c r="A6" s="3" t="s">
        <v>20</v>
      </c>
      <c r="B6" t="s">
        <v>21</v>
      </c>
      <c r="C6" s="3" t="s">
        <v>3</v>
      </c>
      <c r="D6" s="3" t="s">
        <v>156</v>
      </c>
      <c r="E6" s="7">
        <v>615810</v>
      </c>
      <c r="F6" s="8">
        <v>167200.95823360002</v>
      </c>
      <c r="G6" s="9">
        <f t="shared" si="0"/>
        <v>271.51387316477485</v>
      </c>
      <c r="H6" s="9">
        <v>174.34</v>
      </c>
      <c r="I6" s="8">
        <f t="shared" si="1"/>
        <v>172764.21954168001</v>
      </c>
      <c r="J6" s="3" t="s">
        <v>165</v>
      </c>
      <c r="K6" s="3" t="s">
        <v>177</v>
      </c>
      <c r="L6" s="3" t="s">
        <v>180</v>
      </c>
      <c r="M6" s="7">
        <v>2500</v>
      </c>
      <c r="N6" s="3" t="s">
        <v>207</v>
      </c>
      <c r="O6" t="s">
        <v>193</v>
      </c>
    </row>
    <row r="7" spans="1:15" x14ac:dyDescent="0.35">
      <c r="A7" s="3" t="s">
        <v>22</v>
      </c>
      <c r="B7" t="s">
        <v>23</v>
      </c>
      <c r="C7" s="3" t="s">
        <v>3</v>
      </c>
      <c r="D7" s="3" t="s">
        <v>156</v>
      </c>
      <c r="E7" s="7">
        <v>261000</v>
      </c>
      <c r="F7" s="8">
        <v>69593.801322400002</v>
      </c>
      <c r="G7" s="9">
        <f t="shared" si="0"/>
        <v>266.64291694406131</v>
      </c>
      <c r="H7" s="9">
        <v>174.34</v>
      </c>
      <c r="I7" s="8">
        <f t="shared" si="1"/>
        <v>73223.009208000003</v>
      </c>
      <c r="J7" s="3" t="s">
        <v>165</v>
      </c>
      <c r="K7" s="3" t="s">
        <v>176</v>
      </c>
      <c r="L7" s="3" t="s">
        <v>180</v>
      </c>
      <c r="M7" s="7">
        <v>2500</v>
      </c>
      <c r="N7" s="3" t="s">
        <v>207</v>
      </c>
      <c r="O7" t="s">
        <v>193</v>
      </c>
    </row>
    <row r="8" spans="1:15" x14ac:dyDescent="0.35">
      <c r="A8" s="3" t="s">
        <v>24</v>
      </c>
      <c r="B8" t="s">
        <v>25</v>
      </c>
      <c r="C8" s="3" t="s">
        <v>3</v>
      </c>
      <c r="D8" s="3" t="s">
        <v>156</v>
      </c>
      <c r="E8" s="7">
        <v>1465100</v>
      </c>
      <c r="F8" s="8">
        <v>287947.45783799997</v>
      </c>
      <c r="G8" s="9">
        <f t="shared" si="0"/>
        <v>196.53775021363728</v>
      </c>
      <c r="H8" s="9">
        <v>125.97</v>
      </c>
      <c r="I8" s="8">
        <f t="shared" si="1"/>
        <v>296991.7747524</v>
      </c>
      <c r="J8" s="3" t="s">
        <v>151</v>
      </c>
      <c r="K8" s="3" t="s">
        <v>176</v>
      </c>
      <c r="L8" s="3" t="s">
        <v>180</v>
      </c>
      <c r="M8" s="7">
        <v>2500</v>
      </c>
      <c r="N8" s="3" t="s">
        <v>190</v>
      </c>
      <c r="O8" t="s">
        <v>193</v>
      </c>
    </row>
    <row r="9" spans="1:15" x14ac:dyDescent="0.35">
      <c r="A9" s="3" t="s">
        <v>26</v>
      </c>
      <c r="B9" t="s">
        <v>27</v>
      </c>
      <c r="C9" s="3" t="s">
        <v>3</v>
      </c>
      <c r="D9" s="3" t="s">
        <v>156</v>
      </c>
      <c r="E9" s="7">
        <v>1639680</v>
      </c>
      <c r="F9" s="8">
        <v>447649.49970080005</v>
      </c>
      <c r="G9" s="9">
        <f t="shared" si="0"/>
        <v>273.01028231167061</v>
      </c>
      <c r="H9" s="9">
        <v>174.34</v>
      </c>
      <c r="I9" s="8">
        <f t="shared" si="1"/>
        <v>460008.82658304006</v>
      </c>
      <c r="J9" s="3" t="s">
        <v>150</v>
      </c>
      <c r="K9" s="3" t="s">
        <v>177</v>
      </c>
      <c r="L9" s="3" t="s">
        <v>180</v>
      </c>
      <c r="M9" s="7">
        <v>2500</v>
      </c>
      <c r="N9" s="3" t="s">
        <v>207</v>
      </c>
      <c r="O9" t="s">
        <v>193</v>
      </c>
    </row>
    <row r="10" spans="1:15" x14ac:dyDescent="0.35">
      <c r="A10" s="3" t="s">
        <v>28</v>
      </c>
      <c r="B10" t="s">
        <v>29</v>
      </c>
      <c r="C10" s="3" t="s">
        <v>3</v>
      </c>
      <c r="D10" s="3" t="s">
        <v>156</v>
      </c>
      <c r="E10" s="7">
        <v>118400</v>
      </c>
      <c r="F10" s="8">
        <v>31552.429539600002</v>
      </c>
      <c r="G10" s="9">
        <f t="shared" si="0"/>
        <v>266.49011435472977</v>
      </c>
      <c r="H10" s="9">
        <v>174.34</v>
      </c>
      <c r="I10" s="8">
        <f t="shared" si="1"/>
        <v>33216.874675200001</v>
      </c>
      <c r="J10" s="3" t="s">
        <v>150</v>
      </c>
      <c r="K10" s="3" t="s">
        <v>176</v>
      </c>
      <c r="L10" s="3" t="s">
        <v>180</v>
      </c>
      <c r="M10" s="7">
        <v>2500</v>
      </c>
      <c r="N10" s="3" t="s">
        <v>207</v>
      </c>
      <c r="O10" t="s">
        <v>193</v>
      </c>
    </row>
    <row r="11" spans="1:15" x14ac:dyDescent="0.35">
      <c r="A11" s="3" t="s">
        <v>32</v>
      </c>
      <c r="B11" t="s">
        <v>33</v>
      </c>
      <c r="C11" s="3" t="s">
        <v>3</v>
      </c>
      <c r="D11" s="3" t="s">
        <v>156</v>
      </c>
      <c r="E11" s="7">
        <v>28600</v>
      </c>
      <c r="F11" s="8">
        <v>9031.8559198000003</v>
      </c>
      <c r="G11" s="9">
        <f t="shared" si="0"/>
        <v>315.79915803496505</v>
      </c>
      <c r="H11" s="9">
        <v>174.34</v>
      </c>
      <c r="I11" s="8">
        <f t="shared" ref="I11:I39" si="2">((H11*E11/1000)*1.08)*1.49</f>
        <v>8023.6707408000002</v>
      </c>
      <c r="J11" s="3" t="s">
        <v>165</v>
      </c>
      <c r="K11" s="3" t="s">
        <v>176</v>
      </c>
      <c r="L11" s="3" t="s">
        <v>180</v>
      </c>
      <c r="M11" s="7">
        <v>2500</v>
      </c>
      <c r="N11" s="3" t="s">
        <v>207</v>
      </c>
      <c r="O11" t="s">
        <v>193</v>
      </c>
    </row>
    <row r="12" spans="1:15" x14ac:dyDescent="0.35">
      <c r="A12" s="3" t="s">
        <v>34</v>
      </c>
      <c r="B12" t="s">
        <v>35</v>
      </c>
      <c r="C12" s="3" t="s">
        <v>3</v>
      </c>
      <c r="D12" s="3" t="s">
        <v>156</v>
      </c>
      <c r="E12" s="7">
        <v>195000</v>
      </c>
      <c r="F12" s="8">
        <v>37866.340896000002</v>
      </c>
      <c r="G12" s="9">
        <f t="shared" si="0"/>
        <v>194.18636356923076</v>
      </c>
      <c r="H12" s="9">
        <v>125.97</v>
      </c>
      <c r="I12" s="8">
        <f t="shared" si="2"/>
        <v>39528.630180000007</v>
      </c>
      <c r="J12" s="3" t="s">
        <v>167</v>
      </c>
      <c r="K12" s="3" t="s">
        <v>176</v>
      </c>
      <c r="L12" s="3" t="s">
        <v>180</v>
      </c>
      <c r="M12" s="7">
        <v>2500</v>
      </c>
      <c r="N12" s="3" t="s">
        <v>190</v>
      </c>
      <c r="O12" t="s">
        <v>193</v>
      </c>
    </row>
    <row r="13" spans="1:15" x14ac:dyDescent="0.35">
      <c r="A13" s="3" t="s">
        <v>36</v>
      </c>
      <c r="B13" t="s">
        <v>37</v>
      </c>
      <c r="C13" s="3" t="s">
        <v>3</v>
      </c>
      <c r="D13" s="3" t="s">
        <v>156</v>
      </c>
      <c r="E13" s="7">
        <v>135000</v>
      </c>
      <c r="F13" s="8">
        <v>27111.060232</v>
      </c>
      <c r="G13" s="9">
        <f t="shared" si="0"/>
        <v>200.82266838518518</v>
      </c>
      <c r="H13" s="9">
        <v>125.97</v>
      </c>
      <c r="I13" s="8">
        <f t="shared" si="2"/>
        <v>27365.974740000005</v>
      </c>
      <c r="J13" s="3" t="s">
        <v>167</v>
      </c>
      <c r="K13" s="3" t="s">
        <v>176</v>
      </c>
      <c r="L13" s="3" t="s">
        <v>180</v>
      </c>
      <c r="M13" s="7">
        <v>2500</v>
      </c>
      <c r="N13" s="3" t="s">
        <v>190</v>
      </c>
      <c r="O13" t="s">
        <v>193</v>
      </c>
    </row>
    <row r="14" spans="1:15" x14ac:dyDescent="0.35">
      <c r="A14" s="3" t="s">
        <v>38</v>
      </c>
      <c r="B14" t="s">
        <v>39</v>
      </c>
      <c r="C14" s="3" t="s">
        <v>3</v>
      </c>
      <c r="D14" s="3" t="s">
        <v>156</v>
      </c>
      <c r="E14" s="7">
        <v>149400</v>
      </c>
      <c r="F14" s="8">
        <v>29906.267047999998</v>
      </c>
      <c r="G14" s="9">
        <f t="shared" si="0"/>
        <v>200.17581692101737</v>
      </c>
      <c r="H14" s="9">
        <v>125.97</v>
      </c>
      <c r="I14" s="8">
        <f t="shared" si="2"/>
        <v>30285.012045600004</v>
      </c>
      <c r="J14" s="3" t="s">
        <v>167</v>
      </c>
      <c r="K14" s="3" t="s">
        <v>176</v>
      </c>
      <c r="L14" s="3" t="s">
        <v>180</v>
      </c>
      <c r="M14" s="7">
        <v>2500</v>
      </c>
      <c r="N14" s="3" t="s">
        <v>190</v>
      </c>
      <c r="O14" t="s">
        <v>193</v>
      </c>
    </row>
    <row r="15" spans="1:15" x14ac:dyDescent="0.35">
      <c r="A15" s="3" t="s">
        <v>40</v>
      </c>
      <c r="B15" t="s">
        <v>41</v>
      </c>
      <c r="C15" s="3" t="s">
        <v>3</v>
      </c>
      <c r="D15" s="3" t="s">
        <v>156</v>
      </c>
      <c r="E15" s="7">
        <v>176800</v>
      </c>
      <c r="F15" s="8">
        <v>35133.227365999999</v>
      </c>
      <c r="G15" s="9">
        <f t="shared" si="0"/>
        <v>198.71734935520359</v>
      </c>
      <c r="H15" s="9">
        <v>125.97</v>
      </c>
      <c r="I15" s="8">
        <f t="shared" si="2"/>
        <v>35839.291363199998</v>
      </c>
      <c r="J15" s="3" t="s">
        <v>167</v>
      </c>
      <c r="K15" s="3" t="s">
        <v>176</v>
      </c>
      <c r="L15" s="3" t="s">
        <v>180</v>
      </c>
      <c r="M15" s="7">
        <v>2500</v>
      </c>
      <c r="N15" s="3" t="s">
        <v>190</v>
      </c>
      <c r="O15" t="s">
        <v>193</v>
      </c>
    </row>
    <row r="16" spans="1:15" x14ac:dyDescent="0.35">
      <c r="A16" s="3" t="s">
        <v>42</v>
      </c>
      <c r="B16" t="s">
        <v>43</v>
      </c>
      <c r="C16" s="3" t="s">
        <v>3</v>
      </c>
      <c r="D16" s="3" t="s">
        <v>156</v>
      </c>
      <c r="E16" s="7">
        <v>56500</v>
      </c>
      <c r="F16" s="8">
        <v>17299.251256</v>
      </c>
      <c r="G16" s="9">
        <f t="shared" si="0"/>
        <v>306.18143815929204</v>
      </c>
      <c r="H16" s="9">
        <v>174.34</v>
      </c>
      <c r="I16" s="8">
        <f t="shared" si="2"/>
        <v>15850.957932000001</v>
      </c>
      <c r="J16" s="3" t="s">
        <v>165</v>
      </c>
      <c r="K16" s="3" t="s">
        <v>177</v>
      </c>
      <c r="L16" s="3" t="s">
        <v>180</v>
      </c>
      <c r="M16" s="7">
        <v>2500</v>
      </c>
      <c r="N16" s="3" t="s">
        <v>207</v>
      </c>
      <c r="O16" t="s">
        <v>193</v>
      </c>
    </row>
    <row r="17" spans="1:15" x14ac:dyDescent="0.35">
      <c r="A17" s="3" t="s">
        <v>44</v>
      </c>
      <c r="B17" t="s">
        <v>45</v>
      </c>
      <c r="C17" s="3" t="s">
        <v>3</v>
      </c>
      <c r="D17" s="3" t="s">
        <v>156</v>
      </c>
      <c r="E17" s="7">
        <v>299570</v>
      </c>
      <c r="F17" s="8">
        <v>74594.003200000006</v>
      </c>
      <c r="G17" s="9">
        <f t="shared" si="0"/>
        <v>249.00358246820446</v>
      </c>
      <c r="H17" s="9">
        <v>162.79</v>
      </c>
      <c r="I17" s="8">
        <f t="shared" si="2"/>
        <v>78475.856882759996</v>
      </c>
      <c r="J17" s="3" t="s">
        <v>183</v>
      </c>
      <c r="K17" s="3" t="s">
        <v>192</v>
      </c>
      <c r="L17" s="3" t="s">
        <v>184</v>
      </c>
      <c r="M17" s="7">
        <v>500</v>
      </c>
      <c r="N17" s="3">
        <v>0</v>
      </c>
      <c r="O17" t="s">
        <v>193</v>
      </c>
    </row>
    <row r="18" spans="1:15" x14ac:dyDescent="0.35">
      <c r="A18" s="3" t="s">
        <v>47</v>
      </c>
      <c r="B18" t="s">
        <v>48</v>
      </c>
      <c r="C18" s="3" t="s">
        <v>3</v>
      </c>
      <c r="D18" s="3" t="s">
        <v>156</v>
      </c>
      <c r="E18" s="7">
        <v>37500</v>
      </c>
      <c r="F18" s="8">
        <v>10263.352215000001</v>
      </c>
      <c r="G18" s="9">
        <f t="shared" si="0"/>
        <v>273.68939240000003</v>
      </c>
      <c r="H18" s="9">
        <v>174.34</v>
      </c>
      <c r="I18" s="8">
        <f t="shared" si="2"/>
        <v>10520.5473</v>
      </c>
      <c r="J18" s="3" t="s">
        <v>150</v>
      </c>
      <c r="K18" s="3" t="s">
        <v>177</v>
      </c>
      <c r="L18" s="3" t="s">
        <v>180</v>
      </c>
      <c r="M18" s="7">
        <v>2500</v>
      </c>
      <c r="N18" s="3" t="s">
        <v>207</v>
      </c>
      <c r="O18" t="s">
        <v>193</v>
      </c>
    </row>
    <row r="19" spans="1:15" x14ac:dyDescent="0.35">
      <c r="A19" s="3" t="s">
        <v>49</v>
      </c>
      <c r="B19" t="s">
        <v>50</v>
      </c>
      <c r="C19" s="3" t="s">
        <v>209</v>
      </c>
      <c r="D19" s="3" t="s">
        <v>156</v>
      </c>
      <c r="E19" s="7">
        <v>138300</v>
      </c>
      <c r="F19" s="8">
        <v>36380.890615600001</v>
      </c>
      <c r="G19" s="9">
        <f t="shared" si="0"/>
        <v>263.05777740853222</v>
      </c>
      <c r="H19" s="9">
        <v>174.34</v>
      </c>
      <c r="I19" s="8">
        <f t="shared" si="2"/>
        <v>38799.778442400006</v>
      </c>
      <c r="J19" s="3" t="s">
        <v>150</v>
      </c>
      <c r="K19" s="3" t="s">
        <v>177</v>
      </c>
      <c r="L19" s="3" t="s">
        <v>180</v>
      </c>
      <c r="M19" s="7">
        <v>2500</v>
      </c>
      <c r="N19" s="3" t="s">
        <v>207</v>
      </c>
      <c r="O19" t="s">
        <v>193</v>
      </c>
    </row>
    <row r="20" spans="1:15" x14ac:dyDescent="0.35">
      <c r="A20" s="3" t="s">
        <v>51</v>
      </c>
      <c r="B20" t="s">
        <v>52</v>
      </c>
      <c r="C20" s="3" t="s">
        <v>209</v>
      </c>
      <c r="D20" s="3" t="s">
        <v>156</v>
      </c>
      <c r="E20" s="7">
        <v>80000</v>
      </c>
      <c r="F20" s="8">
        <v>15977.169472</v>
      </c>
      <c r="G20" s="9">
        <f t="shared" si="0"/>
        <v>199.71461839999998</v>
      </c>
      <c r="H20" s="9">
        <v>125.97</v>
      </c>
      <c r="I20" s="8">
        <f t="shared" si="2"/>
        <v>16216.873920000002</v>
      </c>
      <c r="J20" s="3" t="s">
        <v>151</v>
      </c>
      <c r="K20" s="3" t="s">
        <v>176</v>
      </c>
      <c r="L20" s="3" t="s">
        <v>180</v>
      </c>
      <c r="M20" s="7">
        <v>2500</v>
      </c>
      <c r="N20" s="3" t="s">
        <v>190</v>
      </c>
      <c r="O20" t="s">
        <v>193</v>
      </c>
    </row>
    <row r="21" spans="1:15" x14ac:dyDescent="0.35">
      <c r="A21" s="3" t="s">
        <v>53</v>
      </c>
      <c r="B21" t="s">
        <v>54</v>
      </c>
      <c r="C21" s="3" t="s">
        <v>209</v>
      </c>
      <c r="D21" s="3" t="s">
        <v>156</v>
      </c>
      <c r="E21" s="7">
        <v>185000</v>
      </c>
      <c r="F21" s="8">
        <v>36249.814268000002</v>
      </c>
      <c r="G21" s="9">
        <f t="shared" si="0"/>
        <v>195.94494198918918</v>
      </c>
      <c r="H21" s="9">
        <v>125.97</v>
      </c>
      <c r="I21" s="8">
        <f t="shared" si="2"/>
        <v>37501.520940000009</v>
      </c>
      <c r="J21" s="3" t="s">
        <v>151</v>
      </c>
      <c r="K21" s="3" t="s">
        <v>177</v>
      </c>
      <c r="L21" s="3" t="s">
        <v>180</v>
      </c>
      <c r="M21" s="7">
        <v>2500</v>
      </c>
      <c r="N21" s="3" t="s">
        <v>190</v>
      </c>
      <c r="O21" t="s">
        <v>193</v>
      </c>
    </row>
    <row r="22" spans="1:15" x14ac:dyDescent="0.35">
      <c r="A22" s="3" t="s">
        <v>55</v>
      </c>
      <c r="B22" t="s">
        <v>56</v>
      </c>
      <c r="C22" s="3" t="s">
        <v>209</v>
      </c>
      <c r="D22" s="3" t="s">
        <v>156</v>
      </c>
      <c r="E22" s="7">
        <v>877600</v>
      </c>
      <c r="F22" s="8">
        <v>172691.63493950001</v>
      </c>
      <c r="G22" s="9">
        <f t="shared" si="0"/>
        <v>196.77715922914768</v>
      </c>
      <c r="H22" s="9">
        <v>125.97</v>
      </c>
      <c r="I22" s="8">
        <f t="shared" si="2"/>
        <v>177899.1069024</v>
      </c>
      <c r="J22" s="3" t="s">
        <v>167</v>
      </c>
      <c r="K22" s="3" t="s">
        <v>177</v>
      </c>
      <c r="L22" s="3" t="s">
        <v>180</v>
      </c>
      <c r="M22" s="7">
        <v>2500</v>
      </c>
      <c r="N22" s="3" t="s">
        <v>190</v>
      </c>
      <c r="O22" t="s">
        <v>193</v>
      </c>
    </row>
    <row r="23" spans="1:15" x14ac:dyDescent="0.35">
      <c r="A23" s="3" t="s">
        <v>57</v>
      </c>
      <c r="B23" t="s">
        <v>58</v>
      </c>
      <c r="C23" s="3" t="s">
        <v>209</v>
      </c>
      <c r="D23" s="3" t="s">
        <v>156</v>
      </c>
      <c r="E23" s="7">
        <v>866200</v>
      </c>
      <c r="F23" s="8">
        <v>107450.0553026</v>
      </c>
      <c r="G23" s="9">
        <f t="shared" si="0"/>
        <v>124.04762791803279</v>
      </c>
      <c r="H23" s="9">
        <v>78.489999999999995</v>
      </c>
      <c r="I23" s="8">
        <f t="shared" si="2"/>
        <v>109406.35074960001</v>
      </c>
      <c r="J23" s="3" t="s">
        <v>169</v>
      </c>
      <c r="K23" s="3" t="s">
        <v>177</v>
      </c>
      <c r="L23" s="3" t="s">
        <v>180</v>
      </c>
      <c r="M23" s="7">
        <v>5000</v>
      </c>
      <c r="N23" s="3">
        <v>4</v>
      </c>
      <c r="O23" t="s">
        <v>193</v>
      </c>
    </row>
    <row r="24" spans="1:15" x14ac:dyDescent="0.35">
      <c r="A24" s="3" t="s">
        <v>59</v>
      </c>
      <c r="B24" t="s">
        <v>60</v>
      </c>
      <c r="C24" s="3" t="s">
        <v>209</v>
      </c>
      <c r="D24" s="3" t="s">
        <v>156</v>
      </c>
      <c r="E24" s="7">
        <v>11280</v>
      </c>
      <c r="F24" s="8">
        <v>6105.0642479999997</v>
      </c>
      <c r="G24" s="9">
        <f t="shared" si="0"/>
        <v>541.22910000000002</v>
      </c>
      <c r="H24" s="9">
        <v>197.68</v>
      </c>
      <c r="I24" s="8">
        <f t="shared" si="2"/>
        <v>3588.2430796799999</v>
      </c>
      <c r="J24" s="3" t="s">
        <v>170</v>
      </c>
      <c r="K24" s="3" t="s">
        <v>192</v>
      </c>
      <c r="L24" s="3" t="s">
        <v>179</v>
      </c>
      <c r="M24" s="7">
        <v>1000</v>
      </c>
      <c r="N24" s="3">
        <v>4</v>
      </c>
      <c r="O24" t="s">
        <v>193</v>
      </c>
    </row>
    <row r="25" spans="1:15" x14ac:dyDescent="0.35">
      <c r="A25" s="3" t="s">
        <v>61</v>
      </c>
      <c r="B25" t="s">
        <v>62</v>
      </c>
      <c r="C25" s="3" t="s">
        <v>209</v>
      </c>
      <c r="D25" s="3" t="s">
        <v>156</v>
      </c>
      <c r="E25" s="7">
        <v>6000</v>
      </c>
      <c r="F25" s="8">
        <v>3247.3746000000001</v>
      </c>
      <c r="G25" s="9">
        <f t="shared" si="0"/>
        <v>541.22910000000002</v>
      </c>
      <c r="H25" s="9">
        <v>197.68</v>
      </c>
      <c r="I25" s="8">
        <f t="shared" si="2"/>
        <v>1908.639936</v>
      </c>
      <c r="J25" s="3" t="s">
        <v>170</v>
      </c>
      <c r="K25" s="3" t="s">
        <v>192</v>
      </c>
      <c r="L25" s="3" t="s">
        <v>179</v>
      </c>
      <c r="M25" s="7">
        <v>1000</v>
      </c>
      <c r="N25" s="3">
        <v>4</v>
      </c>
      <c r="O25" t="s">
        <v>193</v>
      </c>
    </row>
    <row r="26" spans="1:15" x14ac:dyDescent="0.35">
      <c r="A26" s="3" t="s">
        <v>63</v>
      </c>
      <c r="B26" t="s">
        <v>64</v>
      </c>
      <c r="C26" s="3" t="s">
        <v>209</v>
      </c>
      <c r="D26" s="3" t="s">
        <v>156</v>
      </c>
      <c r="E26" s="7">
        <v>69350</v>
      </c>
      <c r="F26" s="8">
        <v>21538.011735</v>
      </c>
      <c r="G26" s="9">
        <f t="shared" si="0"/>
        <v>310.56974383561641</v>
      </c>
      <c r="H26" s="9">
        <v>890</v>
      </c>
      <c r="I26" s="8">
        <f t="shared" si="2"/>
        <v>99322.237800000003</v>
      </c>
      <c r="J26" s="3" t="s">
        <v>152</v>
      </c>
      <c r="K26" s="3" t="s">
        <v>192</v>
      </c>
      <c r="L26" s="3" t="s">
        <v>195</v>
      </c>
      <c r="M26" s="7">
        <v>800</v>
      </c>
      <c r="N26" s="3">
        <v>7</v>
      </c>
      <c r="O26" t="s">
        <v>193</v>
      </c>
    </row>
    <row r="27" spans="1:15" x14ac:dyDescent="0.35">
      <c r="A27" s="3" t="s">
        <v>65</v>
      </c>
      <c r="B27" t="s">
        <v>66</v>
      </c>
      <c r="C27" s="3" t="s">
        <v>209</v>
      </c>
      <c r="D27" s="3" t="s">
        <v>156</v>
      </c>
      <c r="E27" s="7">
        <v>55000</v>
      </c>
      <c r="F27" s="8">
        <v>10875.676108</v>
      </c>
      <c r="G27" s="9">
        <f t="shared" si="0"/>
        <v>197.73956559999999</v>
      </c>
      <c r="H27" s="9">
        <v>125.97</v>
      </c>
      <c r="I27" s="8">
        <f t="shared" si="2"/>
        <v>11149.100820000001</v>
      </c>
      <c r="J27" s="3" t="s">
        <v>151</v>
      </c>
      <c r="K27" s="3" t="s">
        <v>177</v>
      </c>
      <c r="L27" s="3" t="s">
        <v>180</v>
      </c>
      <c r="M27" s="7">
        <v>2500</v>
      </c>
      <c r="N27" s="3" t="s">
        <v>190</v>
      </c>
      <c r="O27" t="s">
        <v>193</v>
      </c>
    </row>
    <row r="28" spans="1:15" x14ac:dyDescent="0.35">
      <c r="A28" s="3" t="s">
        <v>67</v>
      </c>
      <c r="B28" t="s">
        <v>68</v>
      </c>
      <c r="C28" s="3" t="s">
        <v>209</v>
      </c>
      <c r="D28" s="3" t="s">
        <v>156</v>
      </c>
      <c r="E28" s="7">
        <v>861100</v>
      </c>
      <c r="F28" s="8">
        <v>232350.06555700011</v>
      </c>
      <c r="G28" s="9">
        <f t="shared" si="0"/>
        <v>269.82936425153883</v>
      </c>
      <c r="H28" s="9">
        <v>174.34</v>
      </c>
      <c r="I28" s="8">
        <f t="shared" si="2"/>
        <v>241579.82080080002</v>
      </c>
      <c r="J28" s="3" t="s">
        <v>150</v>
      </c>
      <c r="K28" s="3" t="s">
        <v>177</v>
      </c>
      <c r="L28" s="3" t="s">
        <v>180</v>
      </c>
      <c r="M28" s="7">
        <v>2500</v>
      </c>
      <c r="N28" s="3" t="s">
        <v>207</v>
      </c>
      <c r="O28" t="s">
        <v>193</v>
      </c>
    </row>
    <row r="29" spans="1:15" x14ac:dyDescent="0.35">
      <c r="A29" s="3" t="s">
        <v>69</v>
      </c>
      <c r="B29" t="s">
        <v>70</v>
      </c>
      <c r="C29" s="3" t="s">
        <v>209</v>
      </c>
      <c r="D29" s="3" t="s">
        <v>156</v>
      </c>
      <c r="E29" s="7">
        <v>228600</v>
      </c>
      <c r="F29" s="8">
        <v>63334.696990500008</v>
      </c>
      <c r="G29" s="9">
        <f t="shared" si="0"/>
        <v>277.05466749999999</v>
      </c>
      <c r="H29" s="9">
        <v>176.36</v>
      </c>
      <c r="I29" s="8">
        <f t="shared" si="2"/>
        <v>64876.33984320001</v>
      </c>
      <c r="J29" s="3" t="s">
        <v>159</v>
      </c>
      <c r="K29" s="3" t="s">
        <v>177</v>
      </c>
      <c r="L29" s="3" t="s">
        <v>198</v>
      </c>
      <c r="M29" s="7">
        <v>2500</v>
      </c>
      <c r="N29" s="3">
        <v>6</v>
      </c>
      <c r="O29" t="s">
        <v>193</v>
      </c>
    </row>
    <row r="30" spans="1:15" x14ac:dyDescent="0.35">
      <c r="A30" s="3" t="s">
        <v>71</v>
      </c>
      <c r="B30" t="s">
        <v>72</v>
      </c>
      <c r="C30" s="3" t="s">
        <v>209</v>
      </c>
      <c r="D30" s="3" t="s">
        <v>156</v>
      </c>
      <c r="E30" s="7">
        <v>35000</v>
      </c>
      <c r="F30" s="8">
        <v>9579.1287339999999</v>
      </c>
      <c r="G30" s="9">
        <f t="shared" si="0"/>
        <v>273.68939240000003</v>
      </c>
      <c r="H30" s="9">
        <v>174.34</v>
      </c>
      <c r="I30" s="8">
        <f t="shared" si="2"/>
        <v>9819.1774800000003</v>
      </c>
      <c r="J30" s="3" t="s">
        <v>150</v>
      </c>
      <c r="K30" s="3" t="s">
        <v>177</v>
      </c>
      <c r="L30" s="3" t="s">
        <v>180</v>
      </c>
      <c r="M30" s="7">
        <v>2500</v>
      </c>
      <c r="N30" s="3" t="s">
        <v>207</v>
      </c>
      <c r="O30" t="s">
        <v>193</v>
      </c>
    </row>
    <row r="31" spans="1:15" x14ac:dyDescent="0.35">
      <c r="A31" s="3" t="s">
        <v>73</v>
      </c>
      <c r="B31" t="s">
        <v>74</v>
      </c>
      <c r="C31" s="3" t="s">
        <v>209</v>
      </c>
      <c r="D31" s="3" t="s">
        <v>156</v>
      </c>
      <c r="E31" s="7">
        <v>541600</v>
      </c>
      <c r="F31" s="8">
        <v>114709.33005999999</v>
      </c>
      <c r="G31" s="9">
        <f t="shared" si="0"/>
        <v>211.79713822008861</v>
      </c>
      <c r="H31" s="9">
        <v>117.75</v>
      </c>
      <c r="I31" s="8">
        <f t="shared" si="2"/>
        <v>102624.15528000002</v>
      </c>
      <c r="J31" s="3" t="s">
        <v>171</v>
      </c>
      <c r="K31" s="3" t="s">
        <v>177</v>
      </c>
      <c r="L31" s="3" t="s">
        <v>180</v>
      </c>
      <c r="M31" s="7">
        <v>3500</v>
      </c>
      <c r="N31" s="3" t="s">
        <v>207</v>
      </c>
      <c r="O31" t="s">
        <v>193</v>
      </c>
    </row>
    <row r="32" spans="1:15" x14ac:dyDescent="0.35">
      <c r="A32" s="3" t="s">
        <v>75</v>
      </c>
      <c r="B32" t="s">
        <v>76</v>
      </c>
      <c r="C32" s="3" t="s">
        <v>209</v>
      </c>
      <c r="D32" s="3" t="s">
        <v>156</v>
      </c>
      <c r="E32" s="7">
        <v>156800</v>
      </c>
      <c r="F32" s="8">
        <v>34027.091176000002</v>
      </c>
      <c r="G32" s="9">
        <f t="shared" ref="G32:G56" si="3">F32/E32*1000</f>
        <v>217.00951005102041</v>
      </c>
      <c r="H32" s="9">
        <v>125.97</v>
      </c>
      <c r="I32" s="8">
        <f t="shared" si="2"/>
        <v>31785.072883200006</v>
      </c>
      <c r="J32" s="3" t="s">
        <v>167</v>
      </c>
      <c r="K32" s="3" t="s">
        <v>176</v>
      </c>
      <c r="L32" s="3" t="s">
        <v>180</v>
      </c>
      <c r="M32" s="7">
        <v>2500</v>
      </c>
      <c r="N32" s="3" t="s">
        <v>190</v>
      </c>
      <c r="O32" t="s">
        <v>193</v>
      </c>
    </row>
    <row r="33" spans="1:15" x14ac:dyDescent="0.35">
      <c r="A33" s="3" t="s">
        <v>79</v>
      </c>
      <c r="B33" t="s">
        <v>80</v>
      </c>
      <c r="C33" s="3" t="s">
        <v>209</v>
      </c>
      <c r="D33" s="3" t="s">
        <v>156</v>
      </c>
      <c r="E33" s="7">
        <v>493700</v>
      </c>
      <c r="F33" s="8">
        <v>94374.7360205</v>
      </c>
      <c r="G33" s="9">
        <f t="shared" si="3"/>
        <v>191.15806364290054</v>
      </c>
      <c r="H33" s="9">
        <v>125.97</v>
      </c>
      <c r="I33" s="8">
        <f t="shared" si="2"/>
        <v>100078.38317880001</v>
      </c>
      <c r="J33" s="3" t="s">
        <v>167</v>
      </c>
      <c r="K33" s="3" t="s">
        <v>176</v>
      </c>
      <c r="L33" s="3" t="s">
        <v>180</v>
      </c>
      <c r="M33" s="7">
        <v>2500</v>
      </c>
      <c r="N33" s="3" t="s">
        <v>190</v>
      </c>
      <c r="O33" t="s">
        <v>193</v>
      </c>
    </row>
    <row r="34" spans="1:15" x14ac:dyDescent="0.35">
      <c r="A34" s="3" t="s">
        <v>81</v>
      </c>
      <c r="B34" t="s">
        <v>82</v>
      </c>
      <c r="C34" s="3" t="s">
        <v>209</v>
      </c>
      <c r="D34" s="3" t="s">
        <v>156</v>
      </c>
      <c r="E34" s="7">
        <v>14680</v>
      </c>
      <c r="F34" s="8">
        <v>5711.3632191999995</v>
      </c>
      <c r="G34" s="9">
        <f t="shared" si="3"/>
        <v>389.05743999999999</v>
      </c>
      <c r="H34" s="9">
        <v>125.97</v>
      </c>
      <c r="I34" s="8">
        <f t="shared" si="2"/>
        <v>2975.7963643200005</v>
      </c>
      <c r="J34" s="3" t="s">
        <v>167</v>
      </c>
      <c r="K34" s="3" t="s">
        <v>177</v>
      </c>
      <c r="L34" s="3" t="s">
        <v>180</v>
      </c>
      <c r="M34" s="7">
        <v>2500</v>
      </c>
      <c r="N34" s="3" t="s">
        <v>190</v>
      </c>
      <c r="O34" t="s">
        <v>193</v>
      </c>
    </row>
    <row r="35" spans="1:15" x14ac:dyDescent="0.35">
      <c r="A35" s="3" t="s">
        <v>83</v>
      </c>
      <c r="B35" t="s">
        <v>84</v>
      </c>
      <c r="C35" s="3" t="s">
        <v>209</v>
      </c>
      <c r="D35" s="3" t="s">
        <v>156</v>
      </c>
      <c r="E35" s="7">
        <v>23080</v>
      </c>
      <c r="F35" s="8">
        <v>8979.4457152000014</v>
      </c>
      <c r="G35" s="9">
        <f t="shared" si="3"/>
        <v>389.05744000000004</v>
      </c>
      <c r="H35" s="9">
        <v>125.97</v>
      </c>
      <c r="I35" s="8">
        <f t="shared" si="2"/>
        <v>4678.5681259200001</v>
      </c>
      <c r="J35" s="3" t="s">
        <v>167</v>
      </c>
      <c r="K35" s="3" t="s">
        <v>177</v>
      </c>
      <c r="L35" s="3" t="s">
        <v>180</v>
      </c>
      <c r="M35" s="7">
        <v>2500</v>
      </c>
      <c r="N35" s="3" t="s">
        <v>190</v>
      </c>
      <c r="O35" t="s">
        <v>193</v>
      </c>
    </row>
    <row r="36" spans="1:15" x14ac:dyDescent="0.35">
      <c r="A36" s="3" t="s">
        <v>89</v>
      </c>
      <c r="B36" t="s">
        <v>90</v>
      </c>
      <c r="C36" s="3" t="s">
        <v>209</v>
      </c>
      <c r="D36" s="3" t="s">
        <v>156</v>
      </c>
      <c r="E36" s="7">
        <v>8800</v>
      </c>
      <c r="F36" s="8">
        <v>3423.7054720000001</v>
      </c>
      <c r="G36" s="9">
        <f t="shared" si="3"/>
        <v>389.05744000000004</v>
      </c>
      <c r="H36" s="9">
        <v>125.97</v>
      </c>
      <c r="I36" s="8">
        <f t="shared" si="2"/>
        <v>1783.8561312000002</v>
      </c>
      <c r="J36" s="3" t="s">
        <v>167</v>
      </c>
      <c r="K36" s="3" t="s">
        <v>177</v>
      </c>
      <c r="L36" s="3" t="s">
        <v>180</v>
      </c>
      <c r="M36" s="7">
        <v>2500</v>
      </c>
      <c r="N36" s="3" t="s">
        <v>190</v>
      </c>
      <c r="O36" t="s">
        <v>193</v>
      </c>
    </row>
    <row r="37" spans="1:15" x14ac:dyDescent="0.35">
      <c r="A37" s="3" t="s">
        <v>91</v>
      </c>
      <c r="B37" t="s">
        <v>92</v>
      </c>
      <c r="C37" s="3" t="s">
        <v>209</v>
      </c>
      <c r="D37" s="3" t="s">
        <v>156</v>
      </c>
      <c r="E37" s="7">
        <v>590400</v>
      </c>
      <c r="F37" s="8">
        <v>109196.35928400001</v>
      </c>
      <c r="G37" s="9">
        <f t="shared" si="3"/>
        <v>184.95318306910568</v>
      </c>
      <c r="H37" s="9">
        <v>174.34</v>
      </c>
      <c r="I37" s="8">
        <f t="shared" si="2"/>
        <v>165635.49669120001</v>
      </c>
      <c r="J37" s="3" t="s">
        <v>165</v>
      </c>
      <c r="K37" s="3" t="s">
        <v>177</v>
      </c>
      <c r="L37" s="3" t="s">
        <v>180</v>
      </c>
      <c r="M37" s="7">
        <v>2500</v>
      </c>
      <c r="N37" s="3" t="s">
        <v>207</v>
      </c>
      <c r="O37" t="s">
        <v>193</v>
      </c>
    </row>
    <row r="38" spans="1:15" x14ac:dyDescent="0.35">
      <c r="A38" s="3" t="s">
        <v>93</v>
      </c>
      <c r="B38" t="s">
        <v>94</v>
      </c>
      <c r="C38" s="3" t="s">
        <v>209</v>
      </c>
      <c r="D38" s="3" t="s">
        <v>156</v>
      </c>
      <c r="E38" s="7">
        <v>221600</v>
      </c>
      <c r="F38" s="8">
        <v>109016.20939999999</v>
      </c>
      <c r="G38" s="9">
        <f t="shared" si="3"/>
        <v>491.95040342960283</v>
      </c>
      <c r="H38" s="9">
        <v>280</v>
      </c>
      <c r="I38" s="8">
        <f t="shared" si="2"/>
        <v>99847.641600000017</v>
      </c>
      <c r="J38" s="3" t="s">
        <v>172</v>
      </c>
      <c r="K38" s="3" t="s">
        <v>177</v>
      </c>
      <c r="L38" s="3" t="s">
        <v>198</v>
      </c>
      <c r="M38" s="7">
        <v>2500</v>
      </c>
      <c r="N38" s="3" t="s">
        <v>204</v>
      </c>
      <c r="O38" t="s">
        <v>193</v>
      </c>
    </row>
    <row r="39" spans="1:15" x14ac:dyDescent="0.35">
      <c r="A39" s="3" t="s">
        <v>95</v>
      </c>
      <c r="B39" t="s">
        <v>96</v>
      </c>
      <c r="C39" s="3" t="s">
        <v>209</v>
      </c>
      <c r="D39" s="3" t="s">
        <v>156</v>
      </c>
      <c r="E39" s="7">
        <v>158400</v>
      </c>
      <c r="F39" s="8">
        <v>67283.499654599989</v>
      </c>
      <c r="G39" s="9">
        <f t="shared" si="3"/>
        <v>424.76956852651512</v>
      </c>
      <c r="H39" s="9">
        <v>271.32</v>
      </c>
      <c r="I39" s="8">
        <f t="shared" si="2"/>
        <v>69158.730009600011</v>
      </c>
      <c r="J39" s="3" t="s">
        <v>173</v>
      </c>
      <c r="K39" s="3" t="s">
        <v>177</v>
      </c>
      <c r="L39" s="3" t="s">
        <v>205</v>
      </c>
      <c r="M39" s="7">
        <v>1100</v>
      </c>
      <c r="N39" s="3">
        <v>4</v>
      </c>
      <c r="O39" t="s">
        <v>193</v>
      </c>
    </row>
    <row r="40" spans="1:15" x14ac:dyDescent="0.35">
      <c r="A40" s="3" t="s">
        <v>97</v>
      </c>
      <c r="B40" t="s">
        <v>98</v>
      </c>
      <c r="C40" s="3" t="s">
        <v>209</v>
      </c>
      <c r="D40" s="3" t="s">
        <v>156</v>
      </c>
      <c r="E40" s="7">
        <v>89800</v>
      </c>
      <c r="F40" s="8">
        <v>36336.659841399996</v>
      </c>
      <c r="G40" s="9">
        <f t="shared" si="3"/>
        <v>404.63986460356341</v>
      </c>
      <c r="H40" s="9">
        <v>259.69</v>
      </c>
      <c r="I40" s="8">
        <f t="shared" ref="I40:I74" si="4">((H40*E40/1000)*1.08)*1.49</f>
        <v>37526.8046904</v>
      </c>
      <c r="J40" s="3" t="s">
        <v>174</v>
      </c>
      <c r="K40" s="3" t="s">
        <v>192</v>
      </c>
      <c r="L40" s="3" t="s">
        <v>180</v>
      </c>
      <c r="M40" s="7">
        <v>4000</v>
      </c>
      <c r="N40" s="3">
        <v>5</v>
      </c>
      <c r="O40" t="s">
        <v>193</v>
      </c>
    </row>
    <row r="41" spans="1:15" x14ac:dyDescent="0.35">
      <c r="A41" s="3" t="s">
        <v>99</v>
      </c>
      <c r="B41" t="s">
        <v>100</v>
      </c>
      <c r="C41" s="3" t="s">
        <v>209</v>
      </c>
      <c r="D41" s="3" t="s">
        <v>156</v>
      </c>
      <c r="E41" s="7">
        <v>90255</v>
      </c>
      <c r="F41" s="8">
        <v>36525.730301199997</v>
      </c>
      <c r="G41" s="9">
        <f t="shared" si="3"/>
        <v>404.69481248905873</v>
      </c>
      <c r="H41" s="9">
        <v>259.69</v>
      </c>
      <c r="I41" s="8">
        <f t="shared" si="4"/>
        <v>37716.94607274</v>
      </c>
      <c r="J41" s="3" t="s">
        <v>174</v>
      </c>
      <c r="K41" s="3" t="s">
        <v>192</v>
      </c>
      <c r="L41" s="3" t="s">
        <v>180</v>
      </c>
      <c r="M41" s="7">
        <v>4000</v>
      </c>
      <c r="N41" s="3">
        <v>5</v>
      </c>
      <c r="O41" t="s">
        <v>193</v>
      </c>
    </row>
    <row r="42" spans="1:15" x14ac:dyDescent="0.35">
      <c r="A42" s="3" t="s">
        <v>101</v>
      </c>
      <c r="B42" t="s">
        <v>102</v>
      </c>
      <c r="C42" s="3" t="s">
        <v>209</v>
      </c>
      <c r="D42" s="3" t="s">
        <v>156</v>
      </c>
      <c r="E42" s="7">
        <v>172000</v>
      </c>
      <c r="F42" s="8">
        <v>87069.772800000006</v>
      </c>
      <c r="G42" s="9">
        <f t="shared" si="3"/>
        <v>506.21960930232558</v>
      </c>
      <c r="H42" s="9">
        <v>320</v>
      </c>
      <c r="I42" s="8">
        <f t="shared" si="4"/>
        <v>88570.368000000002</v>
      </c>
      <c r="J42" s="3" t="s">
        <v>168</v>
      </c>
      <c r="K42" s="3" t="s">
        <v>206</v>
      </c>
      <c r="L42" s="3" t="s">
        <v>180</v>
      </c>
      <c r="M42" s="7">
        <v>2000</v>
      </c>
      <c r="N42" s="3">
        <v>7</v>
      </c>
      <c r="O42" t="s">
        <v>193</v>
      </c>
    </row>
    <row r="43" spans="1:15" x14ac:dyDescent="0.35">
      <c r="A43" s="3" t="s">
        <v>103</v>
      </c>
      <c r="B43" t="s">
        <v>104</v>
      </c>
      <c r="C43" s="3" t="s">
        <v>209</v>
      </c>
      <c r="D43" s="3" t="s">
        <v>156</v>
      </c>
      <c r="E43" s="7">
        <v>147490</v>
      </c>
      <c r="F43" s="8">
        <v>58251.246816699997</v>
      </c>
      <c r="G43" s="9">
        <f t="shared" si="3"/>
        <v>394.95048353583292</v>
      </c>
      <c r="H43" s="9">
        <v>259.69</v>
      </c>
      <c r="I43" s="8">
        <f t="shared" si="4"/>
        <v>61635.060398520007</v>
      </c>
      <c r="J43" s="3" t="s">
        <v>174</v>
      </c>
      <c r="K43" s="3" t="s">
        <v>192</v>
      </c>
      <c r="L43" s="3" t="s">
        <v>180</v>
      </c>
      <c r="M43" s="7">
        <v>4000</v>
      </c>
      <c r="N43" s="3">
        <v>5</v>
      </c>
      <c r="O43" t="s">
        <v>193</v>
      </c>
    </row>
    <row r="44" spans="1:15" x14ac:dyDescent="0.35">
      <c r="A44" s="3" t="s">
        <v>111</v>
      </c>
      <c r="B44" t="s">
        <v>112</v>
      </c>
      <c r="C44" s="3" t="s">
        <v>209</v>
      </c>
      <c r="D44" s="3" t="s">
        <v>156</v>
      </c>
      <c r="E44" s="7">
        <v>25600</v>
      </c>
      <c r="F44" s="8">
        <v>9959.8704640000014</v>
      </c>
      <c r="G44" s="9">
        <f t="shared" si="3"/>
        <v>389.05744000000004</v>
      </c>
      <c r="H44" s="9">
        <v>125.97</v>
      </c>
      <c r="I44" s="8">
        <f t="shared" si="4"/>
        <v>5189.3996544000001</v>
      </c>
      <c r="J44" s="3" t="s">
        <v>167</v>
      </c>
      <c r="K44" s="3" t="s">
        <v>177</v>
      </c>
      <c r="L44" s="3" t="s">
        <v>180</v>
      </c>
      <c r="M44" s="7">
        <v>2500</v>
      </c>
      <c r="N44" s="3" t="s">
        <v>190</v>
      </c>
      <c r="O44" t="s">
        <v>193</v>
      </c>
    </row>
    <row r="45" spans="1:15" x14ac:dyDescent="0.35">
      <c r="A45" s="3" t="s">
        <v>113</v>
      </c>
      <c r="B45" t="s">
        <v>114</v>
      </c>
      <c r="C45" s="3" t="s">
        <v>209</v>
      </c>
      <c r="D45" s="3" t="s">
        <v>156</v>
      </c>
      <c r="E45" s="7">
        <v>26200</v>
      </c>
      <c r="F45" s="8">
        <v>10193.304928</v>
      </c>
      <c r="G45" s="9">
        <f t="shared" si="3"/>
        <v>389.05743999999999</v>
      </c>
      <c r="H45" s="9">
        <v>125.97</v>
      </c>
      <c r="I45" s="8">
        <f t="shared" si="4"/>
        <v>5311.0262087999999</v>
      </c>
      <c r="J45" s="3" t="s">
        <v>167</v>
      </c>
      <c r="K45" s="3" t="s">
        <v>177</v>
      </c>
      <c r="L45" s="3" t="s">
        <v>180</v>
      </c>
      <c r="M45" s="7">
        <v>2500</v>
      </c>
      <c r="N45" s="3" t="s">
        <v>190</v>
      </c>
      <c r="O45" t="s">
        <v>193</v>
      </c>
    </row>
    <row r="46" spans="1:15" x14ac:dyDescent="0.35">
      <c r="A46" s="3" t="s">
        <v>115</v>
      </c>
      <c r="B46" t="s">
        <v>116</v>
      </c>
      <c r="C46" s="3" t="s">
        <v>209</v>
      </c>
      <c r="D46" s="3" t="s">
        <v>156</v>
      </c>
      <c r="E46" s="7">
        <v>903000</v>
      </c>
      <c r="F46" s="8">
        <v>162366.1308675</v>
      </c>
      <c r="G46" s="9">
        <f t="shared" si="3"/>
        <v>179.80745389534883</v>
      </c>
      <c r="H46" s="9">
        <v>117.75</v>
      </c>
      <c r="I46" s="8">
        <f t="shared" si="4"/>
        <v>171103.41990000001</v>
      </c>
      <c r="J46" s="3" t="s">
        <v>171</v>
      </c>
      <c r="K46" s="3" t="s">
        <v>177</v>
      </c>
      <c r="L46" s="3" t="s">
        <v>180</v>
      </c>
      <c r="M46" s="7">
        <v>3500</v>
      </c>
      <c r="N46" s="3" t="s">
        <v>207</v>
      </c>
      <c r="O46" t="s">
        <v>193</v>
      </c>
    </row>
    <row r="47" spans="1:15" x14ac:dyDescent="0.35">
      <c r="A47" s="3" t="s">
        <v>117</v>
      </c>
      <c r="B47" t="s">
        <v>118</v>
      </c>
      <c r="C47" s="3" t="s">
        <v>209</v>
      </c>
      <c r="D47" s="3" t="s">
        <v>156</v>
      </c>
      <c r="E47" s="7">
        <v>135000</v>
      </c>
      <c r="F47" s="8">
        <v>35197.938450000001</v>
      </c>
      <c r="G47" s="9">
        <f t="shared" si="3"/>
        <v>260.72547000000003</v>
      </c>
      <c r="H47" s="9">
        <v>174.34</v>
      </c>
      <c r="I47" s="8">
        <f t="shared" si="4"/>
        <v>37873.970280000009</v>
      </c>
      <c r="J47" s="3" t="s">
        <v>165</v>
      </c>
      <c r="K47" s="3" t="s">
        <v>177</v>
      </c>
      <c r="L47" s="3" t="s">
        <v>180</v>
      </c>
      <c r="M47" s="7">
        <v>2500</v>
      </c>
      <c r="N47" s="3" t="s">
        <v>207</v>
      </c>
      <c r="O47" t="s">
        <v>193</v>
      </c>
    </row>
    <row r="48" spans="1:15" x14ac:dyDescent="0.35">
      <c r="A48" s="3" t="s">
        <v>119</v>
      </c>
      <c r="B48" t="s">
        <v>120</v>
      </c>
      <c r="C48" s="3" t="s">
        <v>209</v>
      </c>
      <c r="D48" s="3" t="s">
        <v>156</v>
      </c>
      <c r="E48" s="7">
        <v>135000</v>
      </c>
      <c r="F48" s="8">
        <v>35547.681923999997</v>
      </c>
      <c r="G48" s="9">
        <f t="shared" si="3"/>
        <v>263.3161624</v>
      </c>
      <c r="H48" s="9">
        <v>174.34</v>
      </c>
      <c r="I48" s="8">
        <f t="shared" si="4"/>
        <v>37873.970280000009</v>
      </c>
      <c r="J48" s="3" t="s">
        <v>165</v>
      </c>
      <c r="K48" s="3" t="s">
        <v>177</v>
      </c>
      <c r="L48" s="3" t="s">
        <v>180</v>
      </c>
      <c r="M48" s="7">
        <v>2500</v>
      </c>
      <c r="N48" s="3" t="s">
        <v>207</v>
      </c>
      <c r="O48" t="s">
        <v>193</v>
      </c>
    </row>
    <row r="49" spans="1:15" x14ac:dyDescent="0.35">
      <c r="A49" s="3" t="s">
        <v>121</v>
      </c>
      <c r="B49" t="s">
        <v>122</v>
      </c>
      <c r="C49" s="3" t="s">
        <v>209</v>
      </c>
      <c r="D49" s="3" t="s">
        <v>156</v>
      </c>
      <c r="E49" s="7">
        <v>110000</v>
      </c>
      <c r="F49" s="8">
        <v>23804.800800000001</v>
      </c>
      <c r="G49" s="9">
        <f t="shared" si="3"/>
        <v>216.40728000000001</v>
      </c>
      <c r="H49" s="9">
        <v>159.88999999999999</v>
      </c>
      <c r="I49" s="8">
        <f t="shared" si="4"/>
        <v>28302.448680000005</v>
      </c>
      <c r="J49" s="3" t="s">
        <v>163</v>
      </c>
      <c r="K49" s="3" t="s">
        <v>182</v>
      </c>
      <c r="L49" s="3" t="s">
        <v>180</v>
      </c>
      <c r="M49" s="7">
        <v>1000</v>
      </c>
      <c r="N49" s="3">
        <v>4</v>
      </c>
      <c r="O49" t="s">
        <v>193</v>
      </c>
    </row>
    <row r="50" spans="1:15" x14ac:dyDescent="0.35">
      <c r="A50" s="3" t="s">
        <v>124</v>
      </c>
      <c r="B50" t="s">
        <v>125</v>
      </c>
      <c r="C50" s="3" t="s">
        <v>209</v>
      </c>
      <c r="D50" s="3" t="s">
        <v>156</v>
      </c>
      <c r="E50" s="7">
        <v>158400</v>
      </c>
      <c r="F50" s="8">
        <v>21686.140231599999</v>
      </c>
      <c r="G50" s="9">
        <f t="shared" si="3"/>
        <v>136.90745095707069</v>
      </c>
      <c r="H50" s="9">
        <v>87.21</v>
      </c>
      <c r="I50" s="8">
        <f t="shared" si="4"/>
        <v>22229.591788799997</v>
      </c>
      <c r="J50" s="3" t="s">
        <v>196</v>
      </c>
      <c r="K50" s="3" t="s">
        <v>197</v>
      </c>
      <c r="L50" s="3" t="s">
        <v>195</v>
      </c>
      <c r="M50" s="7">
        <v>1200</v>
      </c>
      <c r="N50" s="3">
        <v>1</v>
      </c>
      <c r="O50" t="s">
        <v>193</v>
      </c>
    </row>
    <row r="51" spans="1:15" x14ac:dyDescent="0.35">
      <c r="A51" s="3" t="s">
        <v>126</v>
      </c>
      <c r="B51" t="s">
        <v>127</v>
      </c>
      <c r="C51" s="3" t="s">
        <v>209</v>
      </c>
      <c r="D51" s="3" t="s">
        <v>156</v>
      </c>
      <c r="E51" s="7">
        <v>54000</v>
      </c>
      <c r="F51" s="8">
        <v>13513.8996972</v>
      </c>
      <c r="G51" s="9">
        <f t="shared" si="3"/>
        <v>250.2574018</v>
      </c>
      <c r="H51" s="9">
        <v>108.53</v>
      </c>
      <c r="I51" s="8">
        <f t="shared" si="4"/>
        <v>9430.9097039999997</v>
      </c>
      <c r="J51" s="3" t="s">
        <v>160</v>
      </c>
      <c r="K51" s="3" t="s">
        <v>177</v>
      </c>
      <c r="L51" s="3" t="s">
        <v>180</v>
      </c>
      <c r="M51" s="7">
        <v>900</v>
      </c>
      <c r="N51" s="3">
        <v>1</v>
      </c>
      <c r="O51" t="s">
        <v>193</v>
      </c>
    </row>
    <row r="52" spans="1:15" x14ac:dyDescent="0.35">
      <c r="A52" s="3" t="s">
        <v>128</v>
      </c>
      <c r="B52" t="s">
        <v>129</v>
      </c>
      <c r="C52" s="3" t="s">
        <v>209</v>
      </c>
      <c r="D52" s="3" t="s">
        <v>156</v>
      </c>
      <c r="E52" s="7">
        <v>358800</v>
      </c>
      <c r="F52" s="8">
        <v>24343.614469200002</v>
      </c>
      <c r="G52" s="9">
        <f t="shared" si="3"/>
        <v>67.84730900000001</v>
      </c>
      <c r="H52" s="9">
        <v>44.57</v>
      </c>
      <c r="I52" s="8">
        <f t="shared" si="4"/>
        <v>25733.8693872</v>
      </c>
      <c r="J52" s="3" t="s">
        <v>161</v>
      </c>
      <c r="K52" s="3" t="s">
        <v>177</v>
      </c>
      <c r="L52" s="3" t="s">
        <v>194</v>
      </c>
      <c r="M52" s="7">
        <v>3300</v>
      </c>
      <c r="N52" s="3">
        <v>0</v>
      </c>
      <c r="O52" t="s">
        <v>193</v>
      </c>
    </row>
    <row r="53" spans="1:15" x14ac:dyDescent="0.35">
      <c r="A53" s="3" t="s">
        <v>142</v>
      </c>
      <c r="B53" t="s">
        <v>143</v>
      </c>
      <c r="C53" s="3" t="s">
        <v>209</v>
      </c>
      <c r="D53" s="3" t="s">
        <v>156</v>
      </c>
      <c r="E53" s="7">
        <v>312500</v>
      </c>
      <c r="F53" s="8">
        <v>21202.284062499999</v>
      </c>
      <c r="G53" s="9">
        <f t="shared" si="3"/>
        <v>67.847308999999996</v>
      </c>
      <c r="H53" s="9">
        <v>44.57</v>
      </c>
      <c r="I53" s="8">
        <f t="shared" si="4"/>
        <v>22413.138750000002</v>
      </c>
      <c r="J53" s="3" t="s">
        <v>164</v>
      </c>
      <c r="K53" s="3" t="s">
        <v>189</v>
      </c>
      <c r="L53" s="3" t="s">
        <v>200</v>
      </c>
      <c r="M53" s="7">
        <v>500</v>
      </c>
      <c r="N53" s="3">
        <v>0</v>
      </c>
      <c r="O53" t="s">
        <v>193</v>
      </c>
    </row>
    <row r="54" spans="1:15" x14ac:dyDescent="0.35">
      <c r="A54" s="3" t="s">
        <v>4</v>
      </c>
      <c r="B54" t="s">
        <v>5</v>
      </c>
      <c r="C54" s="3" t="s">
        <v>208</v>
      </c>
      <c r="D54" s="3" t="s">
        <v>157</v>
      </c>
      <c r="E54" s="7">
        <v>624125</v>
      </c>
      <c r="F54" s="8">
        <v>104687.2428798</v>
      </c>
      <c r="G54" s="9">
        <f t="shared" si="3"/>
        <v>167.73441679118767</v>
      </c>
      <c r="H54" s="9">
        <v>107.71</v>
      </c>
      <c r="I54" s="8">
        <f t="shared" si="4"/>
        <v>108177.67143450001</v>
      </c>
      <c r="J54" s="3" t="s">
        <v>147</v>
      </c>
      <c r="K54" s="3" t="s">
        <v>176</v>
      </c>
      <c r="L54" s="3" t="s">
        <v>180</v>
      </c>
      <c r="M54" s="7">
        <v>2500</v>
      </c>
      <c r="N54" s="10" t="s">
        <v>203</v>
      </c>
      <c r="O54" t="s">
        <v>193</v>
      </c>
    </row>
    <row r="55" spans="1:15" x14ac:dyDescent="0.35">
      <c r="A55" s="3" t="s">
        <v>6</v>
      </c>
      <c r="B55" t="s">
        <v>7</v>
      </c>
      <c r="C55" s="3" t="s">
        <v>208</v>
      </c>
      <c r="D55" s="3" t="s">
        <v>157</v>
      </c>
      <c r="E55" s="7">
        <v>2968500</v>
      </c>
      <c r="F55" s="8">
        <v>496899.77936680004</v>
      </c>
      <c r="G55" s="9">
        <f t="shared" si="3"/>
        <v>167.39086385945765</v>
      </c>
      <c r="H55" s="9">
        <v>107.71</v>
      </c>
      <c r="I55" s="8">
        <f t="shared" si="4"/>
        <v>514520.99764200003</v>
      </c>
      <c r="J55" s="3" t="s">
        <v>147</v>
      </c>
      <c r="K55" s="3" t="s">
        <v>176</v>
      </c>
      <c r="L55" s="3" t="s">
        <v>180</v>
      </c>
      <c r="M55" s="7">
        <v>2500</v>
      </c>
      <c r="N55" s="10" t="s">
        <v>203</v>
      </c>
      <c r="O55" t="s">
        <v>193</v>
      </c>
    </row>
    <row r="56" spans="1:15" x14ac:dyDescent="0.35">
      <c r="A56" s="3" t="s">
        <v>10</v>
      </c>
      <c r="B56" t="s">
        <v>11</v>
      </c>
      <c r="C56" s="3" t="s">
        <v>208</v>
      </c>
      <c r="D56" s="3" t="s">
        <v>157</v>
      </c>
      <c r="E56" s="7">
        <v>972250</v>
      </c>
      <c r="F56" s="8">
        <v>163627.66026410001</v>
      </c>
      <c r="G56" s="9">
        <f t="shared" si="3"/>
        <v>168.297927759424</v>
      </c>
      <c r="H56" s="9">
        <v>107.71</v>
      </c>
      <c r="I56" s="8">
        <f t="shared" si="4"/>
        <v>168517.10963700002</v>
      </c>
      <c r="J56" s="3" t="s">
        <v>147</v>
      </c>
      <c r="K56" s="3" t="s">
        <v>176</v>
      </c>
      <c r="L56" s="3" t="s">
        <v>180</v>
      </c>
      <c r="M56" s="7">
        <v>2500</v>
      </c>
      <c r="N56" s="10" t="s">
        <v>203</v>
      </c>
      <c r="O56" t="s">
        <v>193</v>
      </c>
    </row>
    <row r="57" spans="1:15" x14ac:dyDescent="0.35">
      <c r="A57" s="3" t="s">
        <v>14</v>
      </c>
      <c r="B57" t="s">
        <v>15</v>
      </c>
      <c r="C57" s="3" t="s">
        <v>208</v>
      </c>
      <c r="D57" s="3" t="s">
        <v>157</v>
      </c>
      <c r="E57" s="7">
        <v>834000</v>
      </c>
      <c r="F57" s="8">
        <v>138740.35667440001</v>
      </c>
      <c r="G57" s="9">
        <f t="shared" ref="G57:G74" si="5">F57/E57*1000</f>
        <v>166.35534373429257</v>
      </c>
      <c r="H57" s="9">
        <v>107.71</v>
      </c>
      <c r="I57" s="8">
        <f t="shared" si="4"/>
        <v>144554.661288</v>
      </c>
      <c r="J57" s="3" t="s">
        <v>147</v>
      </c>
      <c r="K57" s="3" t="s">
        <v>176</v>
      </c>
      <c r="L57" s="3" t="s">
        <v>180</v>
      </c>
      <c r="M57" s="7">
        <v>2500</v>
      </c>
      <c r="N57" s="10" t="s">
        <v>203</v>
      </c>
      <c r="O57" t="s">
        <v>193</v>
      </c>
    </row>
    <row r="58" spans="1:15" x14ac:dyDescent="0.35">
      <c r="A58" s="3" t="s">
        <v>30</v>
      </c>
      <c r="B58" t="s">
        <v>31</v>
      </c>
      <c r="C58" s="3" t="s">
        <v>208</v>
      </c>
      <c r="D58" s="3" t="s">
        <v>157</v>
      </c>
      <c r="E58" s="7">
        <v>152500</v>
      </c>
      <c r="F58" s="8">
        <v>25454.2701705</v>
      </c>
      <c r="G58" s="9">
        <f t="shared" si="5"/>
        <v>166.91324701967213</v>
      </c>
      <c r="H58" s="9">
        <v>107.71</v>
      </c>
      <c r="I58" s="8">
        <f t="shared" si="4"/>
        <v>26432.35713</v>
      </c>
      <c r="J58" s="3" t="s">
        <v>147</v>
      </c>
      <c r="K58" s="3" t="s">
        <v>176</v>
      </c>
      <c r="L58" s="3" t="s">
        <v>180</v>
      </c>
      <c r="M58" s="7">
        <v>2500</v>
      </c>
      <c r="N58" s="10" t="s">
        <v>203</v>
      </c>
      <c r="O58" t="s">
        <v>193</v>
      </c>
    </row>
    <row r="59" spans="1:15" x14ac:dyDescent="0.35">
      <c r="A59" s="3">
        <v>540279</v>
      </c>
      <c r="B59" t="s">
        <v>46</v>
      </c>
      <c r="C59" s="3" t="s">
        <v>208</v>
      </c>
      <c r="D59" s="3" t="s">
        <v>157</v>
      </c>
      <c r="E59" s="7">
        <v>80000</v>
      </c>
      <c r="F59" s="8">
        <v>7986.6197599999996</v>
      </c>
      <c r="G59" s="9">
        <f t="shared" si="5"/>
        <v>99.832746999999998</v>
      </c>
      <c r="H59" s="9">
        <v>62.99</v>
      </c>
      <c r="I59" s="8">
        <f t="shared" si="4"/>
        <v>8109.0806400000001</v>
      </c>
      <c r="J59" s="3" t="s">
        <v>149</v>
      </c>
      <c r="K59" s="3" t="s">
        <v>177</v>
      </c>
      <c r="L59" s="3" t="s">
        <v>179</v>
      </c>
      <c r="M59" s="7">
        <v>4000</v>
      </c>
      <c r="N59" s="3">
        <v>2</v>
      </c>
      <c r="O59" t="s">
        <v>193</v>
      </c>
    </row>
    <row r="60" spans="1:15" x14ac:dyDescent="0.35">
      <c r="A60" s="3" t="s">
        <v>77</v>
      </c>
      <c r="B60" t="s">
        <v>78</v>
      </c>
      <c r="C60" s="3" t="s">
        <v>208</v>
      </c>
      <c r="D60" s="3" t="s">
        <v>157</v>
      </c>
      <c r="E60" s="7">
        <v>94250</v>
      </c>
      <c r="F60" s="8">
        <v>15609.173881500001</v>
      </c>
      <c r="G60" s="9">
        <f t="shared" si="5"/>
        <v>165.61457699204246</v>
      </c>
      <c r="H60" s="9">
        <v>107.71</v>
      </c>
      <c r="I60" s="8">
        <f t="shared" si="4"/>
        <v>16336.063341000001</v>
      </c>
      <c r="J60" s="3" t="s">
        <v>147</v>
      </c>
      <c r="K60" s="3" t="s">
        <v>176</v>
      </c>
      <c r="L60" s="3" t="s">
        <v>180</v>
      </c>
      <c r="M60" s="7">
        <v>2500</v>
      </c>
      <c r="N60" s="10" t="s">
        <v>203</v>
      </c>
      <c r="O60" t="s">
        <v>193</v>
      </c>
    </row>
    <row r="61" spans="1:15" x14ac:dyDescent="0.35">
      <c r="A61" s="3" t="s">
        <v>85</v>
      </c>
      <c r="B61" t="s">
        <v>86</v>
      </c>
      <c r="C61" s="3" t="s">
        <v>208</v>
      </c>
      <c r="D61" s="3" t="s">
        <v>157</v>
      </c>
      <c r="E61" s="7">
        <v>465300</v>
      </c>
      <c r="F61" s="8">
        <v>146397.85089</v>
      </c>
      <c r="G61" s="9">
        <f t="shared" si="5"/>
        <v>314.63110012894907</v>
      </c>
      <c r="H61" s="9">
        <v>205</v>
      </c>
      <c r="I61" s="8">
        <f t="shared" si="4"/>
        <v>153495.95580000003</v>
      </c>
      <c r="J61" s="3" t="s">
        <v>186</v>
      </c>
      <c r="K61" s="3" t="s">
        <v>187</v>
      </c>
      <c r="L61" s="3" t="s">
        <v>180</v>
      </c>
      <c r="M61" s="7">
        <v>2000</v>
      </c>
      <c r="N61" s="3">
        <v>6</v>
      </c>
      <c r="O61" t="s">
        <v>193</v>
      </c>
    </row>
    <row r="62" spans="1:15" x14ac:dyDescent="0.35">
      <c r="A62" s="3" t="s">
        <v>87</v>
      </c>
      <c r="B62" t="s">
        <v>88</v>
      </c>
      <c r="C62" s="3" t="s">
        <v>208</v>
      </c>
      <c r="D62" s="3" t="s">
        <v>157</v>
      </c>
      <c r="E62" s="7">
        <v>151250</v>
      </c>
      <c r="F62" s="8">
        <v>25664.860692999999</v>
      </c>
      <c r="G62" s="9">
        <f t="shared" si="5"/>
        <v>169.6850293752066</v>
      </c>
      <c r="H62" s="9">
        <v>107.71</v>
      </c>
      <c r="I62" s="8">
        <f t="shared" si="4"/>
        <v>26215.698464999998</v>
      </c>
      <c r="J62" s="3" t="s">
        <v>147</v>
      </c>
      <c r="K62" s="3" t="s">
        <v>176</v>
      </c>
      <c r="L62" s="3" t="s">
        <v>180</v>
      </c>
      <c r="M62" s="7">
        <v>2500</v>
      </c>
      <c r="N62" s="10" t="s">
        <v>203</v>
      </c>
      <c r="O62" t="s">
        <v>193</v>
      </c>
    </row>
    <row r="63" spans="1:15" x14ac:dyDescent="0.35">
      <c r="A63" s="3" t="s">
        <v>105</v>
      </c>
      <c r="B63" t="s">
        <v>106</v>
      </c>
      <c r="C63" s="3" t="s">
        <v>208</v>
      </c>
      <c r="D63" s="3" t="s">
        <v>157</v>
      </c>
      <c r="E63" s="7">
        <v>422800</v>
      </c>
      <c r="F63" s="8">
        <v>130887.74318</v>
      </c>
      <c r="G63" s="9">
        <f t="shared" si="5"/>
        <v>309.57365936613058</v>
      </c>
      <c r="H63" s="9">
        <v>205</v>
      </c>
      <c r="I63" s="8">
        <f t="shared" si="4"/>
        <v>139475.80080000003</v>
      </c>
      <c r="J63" s="3" t="s">
        <v>186</v>
      </c>
      <c r="K63" s="3" t="s">
        <v>187</v>
      </c>
      <c r="L63" s="3" t="s">
        <v>180</v>
      </c>
      <c r="M63" s="7">
        <v>2000</v>
      </c>
      <c r="N63" s="3">
        <v>6</v>
      </c>
      <c r="O63" t="s">
        <v>193</v>
      </c>
    </row>
    <row r="64" spans="1:15" x14ac:dyDescent="0.35">
      <c r="A64" s="3" t="s">
        <v>107</v>
      </c>
      <c r="B64" t="s">
        <v>108</v>
      </c>
      <c r="C64" s="3" t="s">
        <v>208</v>
      </c>
      <c r="D64" s="3" t="s">
        <v>157</v>
      </c>
      <c r="E64" s="7">
        <v>231660</v>
      </c>
      <c r="F64" s="8">
        <v>71418.165680000006</v>
      </c>
      <c r="G64" s="9">
        <f t="shared" si="5"/>
        <v>308.28872347405684</v>
      </c>
      <c r="H64" s="9">
        <v>205</v>
      </c>
      <c r="I64" s="8">
        <f t="shared" si="4"/>
        <v>76421.390760000009</v>
      </c>
      <c r="J64" s="3" t="s">
        <v>186</v>
      </c>
      <c r="K64" s="3" t="s">
        <v>187</v>
      </c>
      <c r="L64" s="3" t="s">
        <v>180</v>
      </c>
      <c r="M64" s="7">
        <v>2000</v>
      </c>
      <c r="N64" s="3">
        <v>6</v>
      </c>
      <c r="O64" t="s">
        <v>193</v>
      </c>
    </row>
    <row r="65" spans="1:15" x14ac:dyDescent="0.35">
      <c r="A65" s="3" t="s">
        <v>109</v>
      </c>
      <c r="B65" t="s">
        <v>110</v>
      </c>
      <c r="C65" s="3" t="s">
        <v>208</v>
      </c>
      <c r="D65" s="3" t="s">
        <v>157</v>
      </c>
      <c r="E65" s="7">
        <v>521900</v>
      </c>
      <c r="F65" s="8">
        <v>162790.960635</v>
      </c>
      <c r="G65" s="9">
        <f t="shared" si="5"/>
        <v>311.91983260203102</v>
      </c>
      <c r="H65" s="9">
        <v>205</v>
      </c>
      <c r="I65" s="8">
        <f t="shared" si="4"/>
        <v>172167.50340000002</v>
      </c>
      <c r="J65" s="3" t="s">
        <v>186</v>
      </c>
      <c r="K65" s="3" t="s">
        <v>187</v>
      </c>
      <c r="L65" s="3" t="s">
        <v>180</v>
      </c>
      <c r="M65" s="7">
        <v>2000</v>
      </c>
      <c r="N65" s="3">
        <v>6</v>
      </c>
      <c r="O65" t="s">
        <v>193</v>
      </c>
    </row>
    <row r="66" spans="1:15" x14ac:dyDescent="0.35">
      <c r="A66" s="3" t="s">
        <v>123</v>
      </c>
      <c r="B66" t="s">
        <v>122</v>
      </c>
      <c r="C66" s="3" t="s">
        <v>208</v>
      </c>
      <c r="D66" s="3" t="s">
        <v>157</v>
      </c>
      <c r="E66" s="7">
        <v>332000</v>
      </c>
      <c r="F66" s="8">
        <v>82150.030198799999</v>
      </c>
      <c r="G66" s="9">
        <f t="shared" si="5"/>
        <v>247.43984999638553</v>
      </c>
      <c r="H66" s="9">
        <v>159.88999999999999</v>
      </c>
      <c r="I66" s="8">
        <f t="shared" si="4"/>
        <v>85421.936016000007</v>
      </c>
      <c r="J66" s="3" t="s">
        <v>163</v>
      </c>
      <c r="K66" s="3" t="s">
        <v>182</v>
      </c>
      <c r="L66" s="3" t="s">
        <v>180</v>
      </c>
      <c r="M66" s="7">
        <v>1000</v>
      </c>
      <c r="N66" s="3">
        <v>4</v>
      </c>
      <c r="O66" t="s">
        <v>193</v>
      </c>
    </row>
    <row r="67" spans="1:15" x14ac:dyDescent="0.35">
      <c r="A67" s="3" t="s">
        <v>130</v>
      </c>
      <c r="B67" t="s">
        <v>131</v>
      </c>
      <c r="C67" s="3" t="s">
        <v>208</v>
      </c>
      <c r="D67" s="3" t="s">
        <v>157</v>
      </c>
      <c r="E67" s="7">
        <v>244200</v>
      </c>
      <c r="F67" s="8">
        <v>40740.901506299997</v>
      </c>
      <c r="G67" s="9">
        <f t="shared" si="5"/>
        <v>166.834158502457</v>
      </c>
      <c r="H67" s="9">
        <v>107.71</v>
      </c>
      <c r="I67" s="8">
        <f t="shared" si="4"/>
        <v>42326.436794400004</v>
      </c>
      <c r="J67" s="3" t="s">
        <v>147</v>
      </c>
      <c r="K67" s="3" t="s">
        <v>176</v>
      </c>
      <c r="L67" s="3" t="s">
        <v>180</v>
      </c>
      <c r="M67" s="7">
        <v>2500</v>
      </c>
      <c r="N67" s="10" t="s">
        <v>203</v>
      </c>
      <c r="O67" t="s">
        <v>193</v>
      </c>
    </row>
    <row r="68" spans="1:15" x14ac:dyDescent="0.35">
      <c r="A68" s="3" t="s">
        <v>132</v>
      </c>
      <c r="B68" t="s">
        <v>133</v>
      </c>
      <c r="C68" s="3" t="s">
        <v>208</v>
      </c>
      <c r="D68" s="3" t="s">
        <v>157</v>
      </c>
      <c r="E68" s="7">
        <v>241175</v>
      </c>
      <c r="F68" s="8">
        <v>40438.244773699997</v>
      </c>
      <c r="G68" s="9">
        <f t="shared" si="5"/>
        <v>167.67179340188659</v>
      </c>
      <c r="H68" s="9">
        <v>107.71</v>
      </c>
      <c r="I68" s="8">
        <f t="shared" si="4"/>
        <v>41802.122825099999</v>
      </c>
      <c r="J68" s="3" t="s">
        <v>147</v>
      </c>
      <c r="K68" s="3" t="s">
        <v>176</v>
      </c>
      <c r="L68" s="3" t="s">
        <v>180</v>
      </c>
      <c r="M68" s="7">
        <v>2500</v>
      </c>
      <c r="N68" s="10" t="s">
        <v>203</v>
      </c>
      <c r="O68" t="s">
        <v>193</v>
      </c>
    </row>
    <row r="69" spans="1:15" x14ac:dyDescent="0.35">
      <c r="A69" s="3" t="s">
        <v>135</v>
      </c>
      <c r="B69" t="s">
        <v>134</v>
      </c>
      <c r="C69" s="3" t="s">
        <v>208</v>
      </c>
      <c r="D69" s="3" t="s">
        <v>157</v>
      </c>
      <c r="E69" s="7">
        <v>945000</v>
      </c>
      <c r="F69" s="8">
        <v>159178.36689929999</v>
      </c>
      <c r="G69" s="9">
        <f t="shared" si="5"/>
        <v>168.44271629555556</v>
      </c>
      <c r="H69" s="9">
        <v>107.71</v>
      </c>
      <c r="I69" s="8">
        <f t="shared" si="4"/>
        <v>163793.95074</v>
      </c>
      <c r="J69" s="3" t="s">
        <v>147</v>
      </c>
      <c r="K69" s="3" t="s">
        <v>176</v>
      </c>
      <c r="L69" s="3" t="s">
        <v>180</v>
      </c>
      <c r="M69" s="7">
        <v>2500</v>
      </c>
      <c r="N69" s="10" t="s">
        <v>203</v>
      </c>
      <c r="O69" t="s">
        <v>193</v>
      </c>
    </row>
    <row r="70" spans="1:15" x14ac:dyDescent="0.35">
      <c r="A70" s="3" t="s">
        <v>137</v>
      </c>
      <c r="B70" t="s">
        <v>136</v>
      </c>
      <c r="C70" s="3" t="s">
        <v>208</v>
      </c>
      <c r="D70" s="3" t="s">
        <v>157</v>
      </c>
      <c r="E70" s="7">
        <v>599500</v>
      </c>
      <c r="F70" s="8">
        <v>101146.7915985</v>
      </c>
      <c r="G70" s="9">
        <f t="shared" si="5"/>
        <v>168.7185848181818</v>
      </c>
      <c r="H70" s="9">
        <v>107.71</v>
      </c>
      <c r="I70" s="8">
        <f t="shared" si="4"/>
        <v>103909.495734</v>
      </c>
      <c r="J70" s="3" t="s">
        <v>147</v>
      </c>
      <c r="K70" s="3" t="s">
        <v>176</v>
      </c>
      <c r="L70" s="3" t="s">
        <v>180</v>
      </c>
      <c r="M70" s="7">
        <v>2500</v>
      </c>
      <c r="N70" s="10" t="s">
        <v>203</v>
      </c>
      <c r="O70" t="s">
        <v>193</v>
      </c>
    </row>
    <row r="71" spans="1:15" x14ac:dyDescent="0.35">
      <c r="A71" s="3" t="s">
        <v>139</v>
      </c>
      <c r="B71" t="s">
        <v>138</v>
      </c>
      <c r="C71" s="3" t="s">
        <v>208</v>
      </c>
      <c r="D71" s="3" t="s">
        <v>157</v>
      </c>
      <c r="E71" s="7">
        <v>618750</v>
      </c>
      <c r="F71" s="8">
        <v>104170.6205506</v>
      </c>
      <c r="G71" s="9">
        <f t="shared" si="5"/>
        <v>168.35655846561616</v>
      </c>
      <c r="H71" s="9">
        <v>107.71</v>
      </c>
      <c r="I71" s="8">
        <f t="shared" si="4"/>
        <v>107246.03917499998</v>
      </c>
      <c r="J71" s="3" t="s">
        <v>147</v>
      </c>
      <c r="K71" s="3" t="s">
        <v>176</v>
      </c>
      <c r="L71" s="3" t="s">
        <v>180</v>
      </c>
      <c r="M71" s="7">
        <v>2500</v>
      </c>
      <c r="N71" s="10" t="s">
        <v>203</v>
      </c>
      <c r="O71" t="s">
        <v>193</v>
      </c>
    </row>
    <row r="72" spans="1:15" x14ac:dyDescent="0.35">
      <c r="A72" s="3" t="s">
        <v>141</v>
      </c>
      <c r="B72" t="s">
        <v>140</v>
      </c>
      <c r="C72" s="3" t="s">
        <v>208</v>
      </c>
      <c r="D72" s="3" t="s">
        <v>157</v>
      </c>
      <c r="E72" s="7">
        <v>346500</v>
      </c>
      <c r="F72" s="8">
        <v>58921.338314599998</v>
      </c>
      <c r="G72" s="9">
        <f t="shared" si="5"/>
        <v>170.04715242308802</v>
      </c>
      <c r="H72" s="9">
        <v>107.71</v>
      </c>
      <c r="I72" s="8">
        <f t="shared" si="4"/>
        <v>60057.781938</v>
      </c>
      <c r="J72" s="3" t="s">
        <v>147</v>
      </c>
      <c r="K72" s="3" t="s">
        <v>176</v>
      </c>
      <c r="L72" s="3" t="s">
        <v>180</v>
      </c>
      <c r="M72" s="7">
        <v>2500</v>
      </c>
      <c r="N72" s="10" t="s">
        <v>203</v>
      </c>
      <c r="O72" t="s">
        <v>193</v>
      </c>
    </row>
    <row r="73" spans="1:15" x14ac:dyDescent="0.35">
      <c r="A73" s="3" t="s">
        <v>144</v>
      </c>
      <c r="B73" t="s">
        <v>145</v>
      </c>
      <c r="C73" s="3" t="s">
        <v>208</v>
      </c>
      <c r="D73" s="3" t="s">
        <v>157</v>
      </c>
      <c r="E73" s="7">
        <v>501200</v>
      </c>
      <c r="F73" s="8">
        <v>77467.05077999999</v>
      </c>
      <c r="G73" s="9">
        <f t="shared" si="5"/>
        <v>154.56314999999998</v>
      </c>
      <c r="H73" s="9">
        <v>98</v>
      </c>
      <c r="I73" s="8">
        <f t="shared" si="4"/>
        <v>79040.041920000003</v>
      </c>
      <c r="J73" s="3" t="s">
        <v>162</v>
      </c>
      <c r="K73" s="3" t="s">
        <v>177</v>
      </c>
      <c r="L73" s="3" t="s">
        <v>199</v>
      </c>
      <c r="M73" s="7">
        <v>1600</v>
      </c>
      <c r="N73" s="3">
        <v>0</v>
      </c>
      <c r="O73" t="s">
        <v>193</v>
      </c>
    </row>
    <row r="74" spans="1:15" x14ac:dyDescent="0.35">
      <c r="A74" s="3">
        <v>540243</v>
      </c>
      <c r="B74" t="s">
        <v>146</v>
      </c>
      <c r="C74" s="3" t="s">
        <v>208</v>
      </c>
      <c r="D74" s="3" t="s">
        <v>157</v>
      </c>
      <c r="E74" s="7">
        <v>130000</v>
      </c>
      <c r="F74" s="8">
        <v>33554.095731000001</v>
      </c>
      <c r="G74" s="9">
        <f t="shared" si="5"/>
        <v>258.10842869999999</v>
      </c>
      <c r="H74" s="9">
        <v>162.79</v>
      </c>
      <c r="I74" s="8">
        <f t="shared" si="4"/>
        <v>34055.016840000004</v>
      </c>
      <c r="J74" s="3" t="s">
        <v>183</v>
      </c>
      <c r="K74" s="3" t="s">
        <v>177</v>
      </c>
      <c r="L74" s="3" t="s">
        <v>184</v>
      </c>
      <c r="M74" s="7">
        <v>500</v>
      </c>
      <c r="N74" s="3">
        <v>0</v>
      </c>
      <c r="O74" t="s">
        <v>193</v>
      </c>
    </row>
    <row r="76" spans="1:15" x14ac:dyDescent="0.35">
      <c r="D76"/>
      <c r="E76"/>
      <c r="F76"/>
      <c r="G76"/>
      <c r="H76"/>
      <c r="I76"/>
      <c r="J76"/>
      <c r="K76"/>
      <c r="L76"/>
    </row>
    <row r="77" spans="1:15" x14ac:dyDescent="0.35">
      <c r="D77"/>
      <c r="E77"/>
      <c r="F77"/>
      <c r="G77"/>
      <c r="H77"/>
      <c r="I77"/>
      <c r="J77"/>
      <c r="K77"/>
      <c r="L77"/>
    </row>
    <row r="78" spans="1:15" x14ac:dyDescent="0.35">
      <c r="D78"/>
      <c r="E78"/>
      <c r="F78"/>
      <c r="G78"/>
      <c r="H78"/>
      <c r="I78"/>
      <c r="J78"/>
      <c r="K78"/>
      <c r="L78"/>
    </row>
    <row r="79" spans="1:15" x14ac:dyDescent="0.35">
      <c r="D79"/>
      <c r="E79"/>
      <c r="F79"/>
      <c r="G79"/>
      <c r="H79"/>
      <c r="I79"/>
      <c r="J79"/>
      <c r="K79"/>
      <c r="L79"/>
    </row>
    <row r="80" spans="1:15" x14ac:dyDescent="0.35">
      <c r="D80"/>
      <c r="E80"/>
      <c r="F80"/>
      <c r="G80"/>
      <c r="H80"/>
      <c r="I80"/>
      <c r="J80"/>
      <c r="K80"/>
      <c r="L80"/>
    </row>
    <row r="81" spans="4:12" x14ac:dyDescent="0.35">
      <c r="D81"/>
      <c r="E81"/>
      <c r="F81"/>
      <c r="G81"/>
      <c r="H81"/>
      <c r="I81"/>
      <c r="J81"/>
      <c r="K81"/>
      <c r="L81"/>
    </row>
    <row r="82" spans="4:12" x14ac:dyDescent="0.35">
      <c r="D82"/>
      <c r="E82"/>
      <c r="F82"/>
      <c r="G82"/>
      <c r="H82"/>
      <c r="I82"/>
      <c r="J82"/>
      <c r="K82"/>
      <c r="L82"/>
    </row>
    <row r="83" spans="4:12" x14ac:dyDescent="0.35">
      <c r="D83"/>
      <c r="E83"/>
      <c r="F83"/>
      <c r="G83"/>
      <c r="H83"/>
      <c r="I83"/>
      <c r="J83"/>
      <c r="K83"/>
      <c r="L83"/>
    </row>
    <row r="84" spans="4:12" x14ac:dyDescent="0.35">
      <c r="D84"/>
      <c r="E84"/>
      <c r="F84"/>
      <c r="G84"/>
      <c r="H84"/>
      <c r="I84"/>
      <c r="J84"/>
      <c r="K84"/>
      <c r="L84"/>
    </row>
    <row r="85" spans="4:12" x14ac:dyDescent="0.35">
      <c r="D85"/>
      <c r="E85"/>
      <c r="F85"/>
      <c r="G85"/>
      <c r="H85"/>
      <c r="I85"/>
      <c r="J85"/>
      <c r="K85"/>
      <c r="L85"/>
    </row>
    <row r="86" spans="4:12" x14ac:dyDescent="0.35">
      <c r="D86"/>
      <c r="E86"/>
      <c r="F86"/>
      <c r="G86"/>
      <c r="H86"/>
      <c r="I86"/>
      <c r="J86"/>
      <c r="K86"/>
      <c r="L86"/>
    </row>
    <row r="87" spans="4:12" x14ac:dyDescent="0.35">
      <c r="D87"/>
      <c r="E87"/>
      <c r="F87"/>
      <c r="G87"/>
      <c r="H87"/>
      <c r="I87"/>
      <c r="J87"/>
      <c r="K87"/>
      <c r="L87"/>
    </row>
    <row r="88" spans="4:12" x14ac:dyDescent="0.35">
      <c r="D88"/>
      <c r="E88"/>
      <c r="F88"/>
      <c r="G88"/>
      <c r="H88"/>
      <c r="I88"/>
      <c r="J88"/>
      <c r="K88"/>
      <c r="L88"/>
    </row>
    <row r="89" spans="4:12" x14ac:dyDescent="0.35">
      <c r="D89"/>
      <c r="E89"/>
      <c r="F89"/>
      <c r="G89"/>
      <c r="H89"/>
      <c r="I89"/>
      <c r="J89"/>
      <c r="K89"/>
      <c r="L89"/>
    </row>
    <row r="90" spans="4:12" x14ac:dyDescent="0.35">
      <c r="D90"/>
      <c r="E90"/>
      <c r="F90"/>
      <c r="G90"/>
      <c r="H90"/>
      <c r="I90"/>
      <c r="J90"/>
      <c r="K90"/>
      <c r="L90"/>
    </row>
    <row r="91" spans="4:12" x14ac:dyDescent="0.35">
      <c r="D91"/>
      <c r="E91"/>
      <c r="F91"/>
      <c r="G91"/>
      <c r="H91"/>
      <c r="I91"/>
      <c r="J91"/>
      <c r="K91"/>
      <c r="L91"/>
    </row>
    <row r="92" spans="4:12" x14ac:dyDescent="0.35">
      <c r="D92"/>
      <c r="E92"/>
      <c r="F92"/>
      <c r="G92"/>
      <c r="H92"/>
      <c r="I92"/>
      <c r="J92"/>
      <c r="K92"/>
      <c r="L92"/>
    </row>
    <row r="93" spans="4:12" x14ac:dyDescent="0.35">
      <c r="D93"/>
      <c r="E93"/>
      <c r="F93"/>
      <c r="G93"/>
      <c r="H93"/>
      <c r="I93"/>
      <c r="J93"/>
      <c r="K93"/>
      <c r="L93"/>
    </row>
    <row r="94" spans="4:12" x14ac:dyDescent="0.35">
      <c r="D94"/>
      <c r="E94"/>
      <c r="F94"/>
      <c r="G94"/>
      <c r="H94"/>
      <c r="I94"/>
      <c r="J94"/>
      <c r="K94"/>
      <c r="L94"/>
    </row>
    <row r="95" spans="4:12" x14ac:dyDescent="0.35">
      <c r="D95"/>
      <c r="E95"/>
      <c r="F95"/>
      <c r="G95"/>
      <c r="H95"/>
      <c r="I95"/>
      <c r="J95"/>
      <c r="K95"/>
      <c r="L95"/>
    </row>
    <row r="96" spans="4:12" x14ac:dyDescent="0.35">
      <c r="D96"/>
      <c r="E96"/>
      <c r="F96"/>
      <c r="G96"/>
      <c r="H96"/>
      <c r="I96"/>
      <c r="J96"/>
      <c r="K96"/>
      <c r="L96"/>
    </row>
    <row r="97" spans="4:12" x14ac:dyDescent="0.35">
      <c r="D97"/>
      <c r="E97"/>
      <c r="F97"/>
      <c r="G97"/>
      <c r="H97"/>
      <c r="I97"/>
      <c r="J97"/>
      <c r="K97"/>
      <c r="L97"/>
    </row>
    <row r="98" spans="4:12" x14ac:dyDescent="0.35">
      <c r="D98"/>
      <c r="E98"/>
      <c r="F98"/>
      <c r="G98"/>
      <c r="H98"/>
      <c r="I98"/>
      <c r="J98"/>
      <c r="K98"/>
      <c r="L98"/>
    </row>
    <row r="99" spans="4:12" x14ac:dyDescent="0.35">
      <c r="D99"/>
      <c r="E99"/>
      <c r="F99"/>
      <c r="G99"/>
      <c r="H99"/>
      <c r="I99"/>
      <c r="J99"/>
      <c r="K99"/>
      <c r="L99"/>
    </row>
    <row r="100" spans="4:12" x14ac:dyDescent="0.35">
      <c r="D100"/>
      <c r="E100"/>
      <c r="F100"/>
      <c r="G100"/>
      <c r="H100"/>
      <c r="I100"/>
      <c r="J100"/>
      <c r="K100"/>
      <c r="L100"/>
    </row>
    <row r="101" spans="4:12" x14ac:dyDescent="0.35">
      <c r="D101"/>
      <c r="E101"/>
      <c r="F101"/>
      <c r="G101"/>
      <c r="H101"/>
      <c r="I101"/>
      <c r="J101"/>
      <c r="K101"/>
      <c r="L101"/>
    </row>
    <row r="102" spans="4:12" x14ac:dyDescent="0.35">
      <c r="D102"/>
      <c r="E102"/>
      <c r="F102"/>
      <c r="G102"/>
      <c r="H102"/>
      <c r="I102"/>
      <c r="J102"/>
      <c r="K102"/>
      <c r="L102"/>
    </row>
    <row r="103" spans="4:12" x14ac:dyDescent="0.35">
      <c r="D103"/>
      <c r="E103"/>
      <c r="F103"/>
      <c r="G103"/>
      <c r="H103"/>
      <c r="I103"/>
      <c r="J103"/>
      <c r="K103"/>
      <c r="L103"/>
    </row>
    <row r="104" spans="4:12" x14ac:dyDescent="0.35">
      <c r="D104"/>
      <c r="E104"/>
      <c r="F104"/>
      <c r="G104"/>
      <c r="H104"/>
      <c r="I104"/>
      <c r="J104"/>
      <c r="K104"/>
      <c r="L104"/>
    </row>
    <row r="105" spans="4:12" x14ac:dyDescent="0.35">
      <c r="D105"/>
      <c r="E105"/>
      <c r="F105"/>
      <c r="G105"/>
      <c r="H105"/>
      <c r="I105"/>
      <c r="J105"/>
      <c r="K105"/>
      <c r="L105"/>
    </row>
    <row r="106" spans="4:12" x14ac:dyDescent="0.35">
      <c r="D106"/>
      <c r="E106"/>
      <c r="F106"/>
      <c r="G106"/>
      <c r="H106"/>
      <c r="I106"/>
      <c r="J106"/>
      <c r="K106"/>
      <c r="L106"/>
    </row>
    <row r="107" spans="4:12" x14ac:dyDescent="0.35">
      <c r="D107"/>
      <c r="E107"/>
      <c r="F107"/>
      <c r="G107"/>
      <c r="H107"/>
      <c r="I107"/>
      <c r="J107"/>
      <c r="K107"/>
      <c r="L107"/>
    </row>
    <row r="108" spans="4:12" x14ac:dyDescent="0.35">
      <c r="D108"/>
      <c r="E108"/>
      <c r="F108"/>
      <c r="G108"/>
      <c r="H108"/>
      <c r="I108"/>
      <c r="J108"/>
      <c r="K108"/>
      <c r="L108"/>
    </row>
    <row r="109" spans="4:12" x14ac:dyDescent="0.35">
      <c r="D109"/>
      <c r="E109"/>
      <c r="F109"/>
      <c r="G109"/>
      <c r="H109"/>
      <c r="I109"/>
      <c r="J109"/>
      <c r="K109"/>
      <c r="L109"/>
    </row>
    <row r="110" spans="4:12" x14ac:dyDescent="0.35">
      <c r="D110"/>
      <c r="E110"/>
      <c r="F110"/>
      <c r="G110"/>
      <c r="H110"/>
      <c r="I110"/>
      <c r="J110"/>
      <c r="K110"/>
      <c r="L110"/>
    </row>
    <row r="111" spans="4:12" x14ac:dyDescent="0.35">
      <c r="D111"/>
      <c r="E111"/>
      <c r="F111"/>
      <c r="G111"/>
      <c r="H111"/>
      <c r="I111"/>
      <c r="J111"/>
      <c r="K111"/>
      <c r="L111"/>
    </row>
    <row r="112" spans="4:12" x14ac:dyDescent="0.35">
      <c r="D112"/>
      <c r="E112"/>
      <c r="F112"/>
      <c r="G112"/>
      <c r="H112"/>
      <c r="I112"/>
      <c r="J112"/>
      <c r="K112"/>
      <c r="L112"/>
    </row>
    <row r="113" spans="4:12" x14ac:dyDescent="0.35">
      <c r="D113"/>
      <c r="E113"/>
      <c r="F113"/>
      <c r="G113"/>
      <c r="H113"/>
      <c r="I113"/>
      <c r="J113"/>
      <c r="K113"/>
      <c r="L113"/>
    </row>
    <row r="114" spans="4:12" x14ac:dyDescent="0.35">
      <c r="D114"/>
      <c r="E114"/>
      <c r="F114"/>
      <c r="G114"/>
      <c r="H114"/>
      <c r="I114"/>
      <c r="J114"/>
      <c r="K114"/>
      <c r="L114"/>
    </row>
    <row r="115" spans="4:12" x14ac:dyDescent="0.35">
      <c r="D115"/>
      <c r="E115"/>
      <c r="F115"/>
      <c r="G115"/>
      <c r="H115"/>
      <c r="I115"/>
      <c r="J115"/>
      <c r="K115"/>
      <c r="L115"/>
    </row>
    <row r="116" spans="4:12" x14ac:dyDescent="0.35">
      <c r="D116"/>
      <c r="E116"/>
      <c r="F116"/>
      <c r="G116"/>
      <c r="H116"/>
      <c r="I116"/>
      <c r="J116"/>
      <c r="K116"/>
      <c r="L116"/>
    </row>
    <row r="117" spans="4:12" x14ac:dyDescent="0.35">
      <c r="D117"/>
      <c r="E117"/>
      <c r="F117"/>
      <c r="G117"/>
      <c r="H117"/>
      <c r="I117"/>
      <c r="J117"/>
      <c r="K117"/>
      <c r="L117"/>
    </row>
    <row r="118" spans="4:12" x14ac:dyDescent="0.35">
      <c r="D118"/>
      <c r="E118"/>
      <c r="F118"/>
      <c r="G118"/>
      <c r="H118"/>
      <c r="I118"/>
      <c r="J118"/>
      <c r="K118"/>
      <c r="L118"/>
    </row>
    <row r="119" spans="4:12" x14ac:dyDescent="0.35">
      <c r="D119"/>
      <c r="E119"/>
      <c r="F119"/>
      <c r="G119"/>
      <c r="H119"/>
      <c r="I119"/>
      <c r="J119"/>
      <c r="K119"/>
      <c r="L119"/>
    </row>
    <row r="120" spans="4:12" x14ac:dyDescent="0.35">
      <c r="D120"/>
      <c r="E120"/>
      <c r="F120"/>
      <c r="G120"/>
      <c r="H120"/>
      <c r="I120"/>
      <c r="J120"/>
      <c r="K120"/>
      <c r="L120"/>
    </row>
    <row r="121" spans="4:12" x14ac:dyDescent="0.35">
      <c r="D121"/>
      <c r="E121"/>
      <c r="F121"/>
      <c r="G121"/>
      <c r="H121"/>
      <c r="I121"/>
      <c r="J121"/>
      <c r="K121"/>
      <c r="L121"/>
    </row>
    <row r="122" spans="4:12" x14ac:dyDescent="0.35">
      <c r="D122"/>
      <c r="E122"/>
      <c r="F122"/>
      <c r="G122"/>
      <c r="H122"/>
      <c r="I122"/>
      <c r="J122"/>
      <c r="K122"/>
      <c r="L122"/>
    </row>
    <row r="123" spans="4:12" x14ac:dyDescent="0.35">
      <c r="D123"/>
      <c r="E123"/>
      <c r="F123"/>
      <c r="G123"/>
      <c r="H123"/>
      <c r="I123"/>
      <c r="J123"/>
      <c r="K123"/>
      <c r="L123"/>
    </row>
    <row r="124" spans="4:12" x14ac:dyDescent="0.35">
      <c r="D124"/>
      <c r="E124"/>
      <c r="F124"/>
      <c r="G124"/>
      <c r="H124"/>
      <c r="I124"/>
      <c r="J124"/>
      <c r="K124"/>
      <c r="L124"/>
    </row>
    <row r="125" spans="4:12" x14ac:dyDescent="0.35">
      <c r="D125"/>
      <c r="E125"/>
      <c r="F125"/>
      <c r="G125"/>
      <c r="H125"/>
      <c r="I125"/>
      <c r="J125"/>
      <c r="K125"/>
      <c r="L125"/>
    </row>
    <row r="126" spans="4:12" x14ac:dyDescent="0.35">
      <c r="D126"/>
      <c r="E126"/>
      <c r="F126"/>
      <c r="G126"/>
      <c r="H126"/>
      <c r="I126"/>
      <c r="J126"/>
      <c r="K126"/>
      <c r="L126"/>
    </row>
    <row r="127" spans="4:12" x14ac:dyDescent="0.35">
      <c r="D127"/>
      <c r="E127"/>
      <c r="F127"/>
      <c r="G127"/>
      <c r="H127"/>
      <c r="I127"/>
      <c r="J127"/>
      <c r="K127"/>
      <c r="L127"/>
    </row>
    <row r="128" spans="4:12" x14ac:dyDescent="0.35">
      <c r="D128"/>
      <c r="E128"/>
      <c r="F128"/>
      <c r="G128"/>
      <c r="H128"/>
      <c r="I128"/>
      <c r="J128"/>
      <c r="K128"/>
      <c r="L128"/>
    </row>
    <row r="129" spans="4:12" x14ac:dyDescent="0.35">
      <c r="D129"/>
      <c r="E129"/>
      <c r="F129"/>
      <c r="G129"/>
      <c r="H129"/>
      <c r="I129"/>
      <c r="J129"/>
      <c r="K129"/>
      <c r="L129"/>
    </row>
    <row r="130" spans="4:12" x14ac:dyDescent="0.35">
      <c r="D130"/>
      <c r="E130"/>
      <c r="F130"/>
      <c r="G130"/>
      <c r="H130"/>
      <c r="I130"/>
      <c r="J130"/>
      <c r="K130"/>
      <c r="L130"/>
    </row>
    <row r="131" spans="4:12" x14ac:dyDescent="0.35">
      <c r="D131"/>
      <c r="E131"/>
      <c r="F131"/>
      <c r="G131"/>
      <c r="H131"/>
      <c r="I131"/>
      <c r="J131"/>
      <c r="K131"/>
      <c r="L131"/>
    </row>
    <row r="132" spans="4:12" x14ac:dyDescent="0.35">
      <c r="D132"/>
      <c r="E132"/>
      <c r="F132"/>
      <c r="G132"/>
      <c r="H132"/>
      <c r="I132"/>
      <c r="J132"/>
      <c r="K132"/>
      <c r="L132"/>
    </row>
    <row r="133" spans="4:12" x14ac:dyDescent="0.35">
      <c r="D133"/>
      <c r="E133"/>
      <c r="F133"/>
      <c r="G133"/>
      <c r="H133"/>
      <c r="I133"/>
      <c r="J133"/>
      <c r="K133"/>
      <c r="L133"/>
    </row>
    <row r="134" spans="4:12" x14ac:dyDescent="0.35">
      <c r="D134"/>
      <c r="E134"/>
      <c r="F134"/>
      <c r="G134"/>
      <c r="H134"/>
      <c r="I134"/>
      <c r="J134"/>
      <c r="K134"/>
      <c r="L134"/>
    </row>
    <row r="135" spans="4:12" x14ac:dyDescent="0.35">
      <c r="D135"/>
      <c r="E135"/>
      <c r="F135"/>
      <c r="G135"/>
      <c r="H135"/>
      <c r="I135"/>
      <c r="J135"/>
      <c r="K135"/>
      <c r="L135"/>
    </row>
    <row r="136" spans="4:12" x14ac:dyDescent="0.35">
      <c r="D136"/>
      <c r="E136"/>
      <c r="F136"/>
      <c r="G136"/>
      <c r="H136"/>
      <c r="I136"/>
      <c r="J136"/>
      <c r="K136"/>
      <c r="L136"/>
    </row>
    <row r="137" spans="4:12" x14ac:dyDescent="0.35">
      <c r="D137"/>
      <c r="E137"/>
      <c r="F137"/>
      <c r="G137"/>
      <c r="H137"/>
      <c r="I137"/>
      <c r="J137"/>
      <c r="K137"/>
      <c r="L137"/>
    </row>
    <row r="138" spans="4:12" x14ac:dyDescent="0.35">
      <c r="D138"/>
      <c r="E138"/>
      <c r="F138"/>
      <c r="G138"/>
      <c r="H138"/>
      <c r="I138"/>
      <c r="J138"/>
      <c r="K138"/>
      <c r="L138"/>
    </row>
    <row r="139" spans="4:12" x14ac:dyDescent="0.35">
      <c r="D139"/>
      <c r="E139"/>
      <c r="F139"/>
      <c r="G139"/>
      <c r="H139"/>
      <c r="I139"/>
      <c r="J139"/>
      <c r="K139"/>
      <c r="L139"/>
    </row>
    <row r="140" spans="4:12" x14ac:dyDescent="0.35">
      <c r="D140"/>
      <c r="E140"/>
      <c r="F140"/>
      <c r="G140"/>
      <c r="H140"/>
      <c r="I140"/>
      <c r="J140"/>
      <c r="K140"/>
      <c r="L140"/>
    </row>
    <row r="141" spans="4:12" x14ac:dyDescent="0.35">
      <c r="D141"/>
      <c r="E141"/>
      <c r="F141"/>
      <c r="G141"/>
      <c r="H141"/>
      <c r="I141"/>
      <c r="J141"/>
      <c r="K141"/>
      <c r="L141"/>
    </row>
    <row r="142" spans="4:12" x14ac:dyDescent="0.35">
      <c r="D142"/>
      <c r="E142"/>
      <c r="F142"/>
      <c r="G142"/>
      <c r="H142"/>
      <c r="I142"/>
      <c r="J142"/>
      <c r="K142"/>
      <c r="L142"/>
    </row>
    <row r="143" spans="4:12" x14ac:dyDescent="0.35">
      <c r="D143"/>
      <c r="E143"/>
      <c r="F143"/>
      <c r="G143"/>
      <c r="H143"/>
      <c r="I143"/>
      <c r="J143"/>
      <c r="K143"/>
      <c r="L143"/>
    </row>
    <row r="144" spans="4:12" x14ac:dyDescent="0.35">
      <c r="D144"/>
      <c r="E144"/>
      <c r="F144"/>
      <c r="G144"/>
      <c r="H144"/>
      <c r="I144"/>
      <c r="J144"/>
      <c r="K144"/>
      <c r="L144"/>
    </row>
    <row r="145" spans="4:12" x14ac:dyDescent="0.35">
      <c r="D145"/>
      <c r="E145"/>
      <c r="F145"/>
      <c r="G145"/>
      <c r="H145"/>
      <c r="I145"/>
      <c r="J145"/>
      <c r="K145"/>
      <c r="L145"/>
    </row>
    <row r="146" spans="4:12" x14ac:dyDescent="0.35">
      <c r="D146"/>
      <c r="E146"/>
      <c r="F146"/>
      <c r="G146"/>
      <c r="H146"/>
      <c r="I146"/>
      <c r="J146"/>
      <c r="K146"/>
      <c r="L146"/>
    </row>
    <row r="147" spans="4:12" x14ac:dyDescent="0.35">
      <c r="D147"/>
      <c r="E147"/>
      <c r="F147"/>
      <c r="G147"/>
      <c r="H147"/>
      <c r="I147"/>
      <c r="J147"/>
      <c r="K147"/>
      <c r="L147"/>
    </row>
    <row r="148" spans="4:12" x14ac:dyDescent="0.35">
      <c r="D148"/>
      <c r="E148"/>
      <c r="F148"/>
      <c r="G148"/>
      <c r="H148"/>
      <c r="I148"/>
      <c r="J148"/>
      <c r="K148"/>
      <c r="L148"/>
    </row>
    <row r="149" spans="4:12" x14ac:dyDescent="0.35">
      <c r="D149"/>
      <c r="E149"/>
      <c r="F149"/>
      <c r="G149"/>
      <c r="H149"/>
      <c r="I149"/>
      <c r="J149"/>
      <c r="K149"/>
      <c r="L149"/>
    </row>
    <row r="150" spans="4:12" x14ac:dyDescent="0.35">
      <c r="D150"/>
      <c r="E150"/>
      <c r="F150"/>
      <c r="G150"/>
      <c r="H150"/>
      <c r="I150"/>
      <c r="J150"/>
      <c r="K150"/>
      <c r="L150"/>
    </row>
    <row r="151" spans="4:12" x14ac:dyDescent="0.35">
      <c r="D151"/>
      <c r="E151"/>
      <c r="F151"/>
      <c r="G151"/>
      <c r="H151"/>
      <c r="I151"/>
      <c r="J151"/>
      <c r="K151"/>
      <c r="L151"/>
    </row>
    <row r="152" spans="4:12" x14ac:dyDescent="0.35">
      <c r="D152"/>
      <c r="E152"/>
      <c r="F152"/>
      <c r="G152"/>
      <c r="H152"/>
      <c r="I152"/>
      <c r="J152"/>
      <c r="K152"/>
      <c r="L152"/>
    </row>
    <row r="153" spans="4:12" x14ac:dyDescent="0.35">
      <c r="D153"/>
      <c r="E153"/>
      <c r="F153"/>
      <c r="G153"/>
      <c r="H153"/>
      <c r="I153"/>
      <c r="J153"/>
      <c r="K153"/>
      <c r="L153"/>
    </row>
    <row r="154" spans="4:12" x14ac:dyDescent="0.35">
      <c r="D154"/>
      <c r="E154"/>
      <c r="F154"/>
      <c r="G154"/>
      <c r="H154"/>
      <c r="I154"/>
      <c r="J154"/>
      <c r="K154"/>
      <c r="L154"/>
    </row>
    <row r="155" spans="4:12" x14ac:dyDescent="0.35">
      <c r="D155"/>
      <c r="E155"/>
      <c r="F155"/>
      <c r="G155"/>
      <c r="H155"/>
      <c r="I155"/>
      <c r="J155"/>
      <c r="K155"/>
      <c r="L155"/>
    </row>
    <row r="156" spans="4:12" x14ac:dyDescent="0.35">
      <c r="D156"/>
      <c r="E156"/>
      <c r="F156"/>
      <c r="G156"/>
      <c r="H156"/>
      <c r="I156"/>
      <c r="J156"/>
      <c r="K156"/>
      <c r="L156"/>
    </row>
    <row r="157" spans="4:12" x14ac:dyDescent="0.35">
      <c r="D157"/>
      <c r="E157"/>
      <c r="F157"/>
      <c r="G157"/>
      <c r="H157"/>
      <c r="I157"/>
      <c r="J157"/>
      <c r="K157"/>
      <c r="L157"/>
    </row>
    <row r="158" spans="4:12" x14ac:dyDescent="0.35">
      <c r="D158"/>
      <c r="E158"/>
      <c r="F158"/>
      <c r="G158"/>
      <c r="H158"/>
      <c r="I158"/>
      <c r="J158"/>
      <c r="K158"/>
      <c r="L158"/>
    </row>
    <row r="159" spans="4:12" x14ac:dyDescent="0.35">
      <c r="D159"/>
      <c r="E159"/>
      <c r="F159"/>
      <c r="G159"/>
      <c r="H159"/>
      <c r="I159"/>
      <c r="J159"/>
      <c r="K159"/>
      <c r="L159"/>
    </row>
    <row r="160" spans="4:12" x14ac:dyDescent="0.35">
      <c r="D160"/>
      <c r="E160"/>
      <c r="F160"/>
      <c r="G160"/>
      <c r="H160"/>
      <c r="I160"/>
      <c r="J160"/>
      <c r="K160"/>
      <c r="L160"/>
    </row>
    <row r="161" spans="4:12" x14ac:dyDescent="0.35">
      <c r="D161"/>
      <c r="E161"/>
      <c r="F161"/>
      <c r="G161"/>
      <c r="H161"/>
      <c r="I161"/>
      <c r="J161"/>
      <c r="K161"/>
      <c r="L161"/>
    </row>
    <row r="162" spans="4:12" x14ac:dyDescent="0.35">
      <c r="D162"/>
      <c r="E162"/>
      <c r="F162"/>
      <c r="G162"/>
      <c r="H162"/>
      <c r="I162"/>
      <c r="J162"/>
      <c r="K162"/>
      <c r="L162"/>
    </row>
    <row r="163" spans="4:12" x14ac:dyDescent="0.35">
      <c r="D163"/>
      <c r="E163"/>
      <c r="F163"/>
      <c r="G163"/>
      <c r="H163"/>
      <c r="I163"/>
      <c r="J163"/>
      <c r="K163"/>
      <c r="L163"/>
    </row>
    <row r="164" spans="4:12" x14ac:dyDescent="0.35">
      <c r="D164"/>
      <c r="E164"/>
      <c r="F164"/>
      <c r="G164"/>
      <c r="H164"/>
      <c r="I164"/>
      <c r="J164"/>
      <c r="K164"/>
      <c r="L164"/>
    </row>
    <row r="165" spans="4:12" x14ac:dyDescent="0.35">
      <c r="D165"/>
      <c r="E165"/>
      <c r="F165"/>
      <c r="G165"/>
      <c r="H165"/>
      <c r="I165"/>
      <c r="J165"/>
      <c r="K165"/>
      <c r="L165"/>
    </row>
    <row r="166" spans="4:12" x14ac:dyDescent="0.35">
      <c r="D166"/>
      <c r="E166"/>
      <c r="F166"/>
      <c r="G166"/>
      <c r="H166"/>
      <c r="I166"/>
      <c r="J166"/>
      <c r="K166"/>
      <c r="L166"/>
    </row>
  </sheetData>
  <autoFilter ref="A1:O74" xr:uid="{1C7E1421-FD92-4544-9750-D18562123439}"/>
  <phoneticPr fontId="2" type="noConversion"/>
  <pageMargins left="0.7" right="0.7" top="0.75" bottom="0.75" header="0.3" footer="0.3"/>
  <ignoredErrors>
    <ignoredError sqref="A2:A10 A69 A70 A71 A72:A73 A60 A61:A68 A52 A53 A54:A58 A11:A5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0f4cb4-13da-4f3b-ba3c-e43f33ccb3b0">
      <Terms xmlns="http://schemas.microsoft.com/office/infopath/2007/PartnerControls"/>
    </lcf76f155ced4ddcb4097134ff3c332f>
    <TaxCatchAll xmlns="5616e56a-e1b7-4e8e-afcf-227176058d9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FD246ADC37E574B8AC390F815D86ED5" ma:contentTypeVersion="13" ma:contentTypeDescription="Skapa ett nytt dokument." ma:contentTypeScope="" ma:versionID="c4b809c68387c1039c1e2b36341c745d">
  <xsd:schema xmlns:xsd="http://www.w3.org/2001/XMLSchema" xmlns:xs="http://www.w3.org/2001/XMLSchema" xmlns:p="http://schemas.microsoft.com/office/2006/metadata/properties" xmlns:ns2="430f4cb4-13da-4f3b-ba3c-e43f33ccb3b0" xmlns:ns3="5616e56a-e1b7-4e8e-afcf-227176058d9e" targetNamespace="http://schemas.microsoft.com/office/2006/metadata/properties" ma:root="true" ma:fieldsID="0f2a2b366481d893512bd7ecd4aa3839" ns2:_="" ns3:_="">
    <xsd:import namespace="430f4cb4-13da-4f3b-ba3c-e43f33ccb3b0"/>
    <xsd:import namespace="5616e56a-e1b7-4e8e-afcf-227176058d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f4cb4-13da-4f3b-ba3c-e43f33ccb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d57da725-9977-4809-909d-322b04c3e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6e56a-e1b7-4e8e-afcf-227176058d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1f3bc5a-4095-46db-aeee-c097dccd87a1}" ma:internalName="TaxCatchAll" ma:showField="CatchAllData" ma:web="5616e56a-e1b7-4e8e-afcf-227176058d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C0ED60-5681-4582-96A2-CB49022A38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245A48-DDF0-4063-AA36-E9D6F09A8EAB}">
  <ds:schemaRefs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430f4cb4-13da-4f3b-ba3c-e43f33ccb3b0"/>
    <ds:schemaRef ds:uri="http://schemas.microsoft.com/office/infopath/2007/PartnerControls"/>
    <ds:schemaRef ds:uri="http://schemas.microsoft.com/office/2006/metadata/properties"/>
    <ds:schemaRef ds:uri="5616e56a-e1b7-4e8e-afcf-227176058d9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37C9E8D-EF01-4AEB-83E7-0B3C7E627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0f4cb4-13da-4f3b-ba3c-e43f33ccb3b0"/>
    <ds:schemaRef ds:uri="5616e56a-e1b7-4e8e-afcf-227176058d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Tender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 Bach</cp:lastModifiedBy>
  <dcterms:created xsi:type="dcterms:W3CDTF">2026-04-07T11:06:57Z</dcterms:created>
  <dcterms:modified xsi:type="dcterms:W3CDTF">2026-05-02T21:55:36Z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0x010100AFD246ADC37E574B8AC390F815D86ED5</vt:lpwstr>
  </property>
  <property fmtid="{D5CDD505-2E9C-101B-9397-08002B2CF9AE}" pid="3" name="MediaServiceImageTags">
    <vt:lpwstr/>
  </property>
</Properties>
</file>